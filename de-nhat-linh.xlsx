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in ứng dụng\new\"/>
    </mc:Choice>
  </mc:AlternateContent>
  <xr:revisionPtr revIDLastSave="0" documentId="8_{DA37B142-5789-4450-9E3B-0D4F12620FBF}" xr6:coauthVersionLast="47" xr6:coauthVersionMax="47" xr10:uidLastSave="{00000000-0000-0000-0000-000000000000}"/>
  <bookViews>
    <workbookView xWindow="-108" yWindow="-108" windowWidth="23256" windowHeight="12456" tabRatio="773" firstSheet="2" activeTab="14" xr2:uid="{00000000-000D-0000-FFFF-FFFF00000000}"/>
  </bookViews>
  <sheets>
    <sheet name="Btt-Luong" sheetId="2" r:id="rId1"/>
    <sheet name="BPB-Luong" sheetId="5" r:id="rId2"/>
    <sheet name="Ct-VL" sheetId="21" r:id="rId3"/>
    <sheet name="BangTH-NVL" sheetId="23" r:id="rId4"/>
    <sheet name="Bang PBNVL" sheetId="24" r:id="rId5"/>
    <sheet name="Pbo-kh" sheetId="1" r:id="rId6"/>
    <sheet name="Ct-621" sheetId="8" r:id="rId7"/>
    <sheet name="Ct-622" sheetId="10" r:id="rId8"/>
    <sheet name="Ct-627" sheetId="14" r:id="rId9"/>
    <sheet name="Ct-154" sheetId="13" r:id="rId10"/>
    <sheet name="B-TGTSP" sheetId="12" r:id="rId11"/>
    <sheet name="Ct-155" sheetId="11" r:id="rId12"/>
    <sheet name="Ct-641" sheetId="7" r:id="rId13"/>
    <sheet name="Ct-642" sheetId="18" r:id="rId14"/>
    <sheet name="Ct-632" sheetId="25" r:id="rId15"/>
    <sheet name="Ct-511" sheetId="17" r:id="rId16"/>
    <sheet name="Ct-911" sheetId="16" r:id="rId17"/>
    <sheet name="BCKQKD" sheetId="26" r:id="rId18"/>
    <sheet name="So NKC" sheetId="19" r:id="rId19"/>
  </sheets>
  <externalReferences>
    <externalReference r:id="rId20"/>
  </externalReferences>
  <definedNames>
    <definedName name="_xlnm._FilterDatabase" localSheetId="18" hidden="1">'So NKC'!#REF!</definedName>
    <definedName name="a">'[1]§¬n gi¸ chÝnh'!$F$4:$F$1428</definedName>
    <definedName name="_xlnm.Criteria" localSheetId="18">'So NKC'!#REF!</definedName>
    <definedName name="_xlnm.Extract" localSheetId="18">'So NKC'!#REF!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19" l="1"/>
  <c r="G73" i="19"/>
  <c r="G55" i="19"/>
  <c r="G54" i="19"/>
  <c r="G38" i="19"/>
  <c r="G39" i="19" s="1"/>
  <c r="G23" i="19"/>
  <c r="F23" i="19"/>
  <c r="F16" i="2" l="1"/>
  <c r="N37" i="2"/>
  <c r="N25" i="2"/>
  <c r="N21" i="2"/>
  <c r="N14" i="2"/>
  <c r="N39" i="2" l="1"/>
</calcChain>
</file>

<file path=xl/sharedStrings.xml><?xml version="1.0" encoding="utf-8"?>
<sst xmlns="http://schemas.openxmlformats.org/spreadsheetml/2006/main" count="931" uniqueCount="480">
  <si>
    <t>TT</t>
  </si>
  <si>
    <t>Doanh thu</t>
  </si>
  <si>
    <t>BHXH</t>
  </si>
  <si>
    <t>BHYT</t>
  </si>
  <si>
    <t>PC 121</t>
  </si>
  <si>
    <t>BB 07</t>
  </si>
  <si>
    <t>131-Y</t>
  </si>
  <si>
    <t>PC122</t>
  </si>
  <si>
    <t>131-Z</t>
  </si>
  <si>
    <t>PC124</t>
  </si>
  <si>
    <t>PC125</t>
  </si>
  <si>
    <t>PT315</t>
  </si>
  <si>
    <t>PC126</t>
  </si>
  <si>
    <t>PC127</t>
  </si>
  <si>
    <t>TK 627</t>
  </si>
  <si>
    <t>TK 641</t>
  </si>
  <si>
    <t>TK 642</t>
  </si>
  <si>
    <t>PC 128</t>
  </si>
  <si>
    <t xml:space="preserve">Chi mua VPP </t>
  </si>
  <si>
    <t>...</t>
  </si>
  <si>
    <t>31/08</t>
  </si>
  <si>
    <t>BPB KH</t>
  </si>
  <si>
    <t>02/08</t>
  </si>
  <si>
    <t>23/08</t>
  </si>
  <si>
    <t>09/08</t>
  </si>
  <si>
    <t>10/08</t>
  </si>
  <si>
    <t>11/08</t>
  </si>
  <si>
    <t>19/08</t>
  </si>
  <si>
    <t>20/08</t>
  </si>
  <si>
    <t>22/08</t>
  </si>
  <si>
    <t>18/08</t>
  </si>
  <si>
    <t>BPB-Luong</t>
  </si>
  <si>
    <t>Pbo-kh</t>
  </si>
  <si>
    <t>CT-154</t>
  </si>
  <si>
    <t>CT-911</t>
  </si>
  <si>
    <t>CT-511</t>
  </si>
  <si>
    <t>111</t>
  </si>
  <si>
    <t>112</t>
  </si>
  <si>
    <t>211</t>
  </si>
  <si>
    <t>213</t>
  </si>
  <si>
    <t>214</t>
  </si>
  <si>
    <t>334</t>
  </si>
  <si>
    <t>338</t>
  </si>
  <si>
    <t>421</t>
  </si>
  <si>
    <t>414</t>
  </si>
  <si>
    <t>154</t>
  </si>
  <si>
    <t>155</t>
  </si>
  <si>
    <t>341</t>
  </si>
  <si>
    <t>411</t>
  </si>
  <si>
    <t>6428</t>
  </si>
  <si>
    <t>133</t>
  </si>
  <si>
    <t>621</t>
  </si>
  <si>
    <t>632</t>
  </si>
  <si>
    <t>811</t>
  </si>
  <si>
    <t>635</t>
  </si>
  <si>
    <t>622</t>
  </si>
  <si>
    <t>6271</t>
  </si>
  <si>
    <t>6411</t>
  </si>
  <si>
    <t>6421</t>
  </si>
  <si>
    <t>3383</t>
  </si>
  <si>
    <t>6278</t>
  </si>
  <si>
    <t>6418</t>
  </si>
  <si>
    <t>6274</t>
  </si>
  <si>
    <t>6414</t>
  </si>
  <si>
    <t>6424</t>
  </si>
  <si>
    <t>511</t>
  </si>
  <si>
    <t>911</t>
  </si>
  <si>
    <t>711</t>
  </si>
  <si>
    <t>3331</t>
  </si>
  <si>
    <t>627</t>
  </si>
  <si>
    <t>521</t>
  </si>
  <si>
    <t>641</t>
  </si>
  <si>
    <t>642</t>
  </si>
  <si>
    <t>GTGT01946</t>
  </si>
  <si>
    <t>GTGT01947</t>
  </si>
  <si>
    <t>UNC10875</t>
  </si>
  <si>
    <t>3382</t>
  </si>
  <si>
    <t>3384</t>
  </si>
  <si>
    <t>BHTN</t>
  </si>
  <si>
    <t>SỔ CHI TIẾT VẬT LIỆU, DỤNG CỤ (SẢN PHẨM, HÀNG HÓA)</t>
  </si>
  <si>
    <t>Chứng từ</t>
  </si>
  <si>
    <t>Diễn giải</t>
  </si>
  <si>
    <t>Tài khoản đối ứng</t>
  </si>
  <si>
    <t>Đơn giá</t>
  </si>
  <si>
    <t>Nhập</t>
  </si>
  <si>
    <t>Ghi chú</t>
  </si>
  <si>
    <t>Số hiệu</t>
  </si>
  <si>
    <t>Ngày tháng</t>
  </si>
  <si>
    <t>Số lượng</t>
  </si>
  <si>
    <t>Thành tiền</t>
  </si>
  <si>
    <t>A</t>
  </si>
  <si>
    <t>B</t>
  </si>
  <si>
    <t>C</t>
  </si>
  <si>
    <t>D</t>
  </si>
  <si>
    <t>(3 = 1 x 2)</t>
  </si>
  <si>
    <t>(5 = 1 x 4)</t>
  </si>
  <si>
    <t>(7 = 1 x 6)</t>
  </si>
  <si>
    <t>E</t>
  </si>
  <si>
    <t>Số tồn đầu kỳ</t>
  </si>
  <si>
    <t>Cộng trong tháng</t>
  </si>
  <si>
    <t>Xuất trong kỳ</t>
  </si>
  <si>
    <t>Xuất</t>
  </si>
  <si>
    <t>Tồn</t>
  </si>
  <si>
    <t>STT</t>
  </si>
  <si>
    <t>ĐVT</t>
  </si>
  <si>
    <t>Tồn đầu kỳ</t>
  </si>
  <si>
    <t>Nhập trong kỳ</t>
  </si>
  <si>
    <t>Tồn cuối kỳ</t>
  </si>
  <si>
    <t>SL</t>
  </si>
  <si>
    <t>Cộng</t>
  </si>
  <si>
    <t xml:space="preserve">                            Số:…………..</t>
  </si>
  <si>
    <t>Tài khoản 15211</t>
  </si>
  <si>
    <t>Tài khoản 15212</t>
  </si>
  <si>
    <t>Tài khoản 15213</t>
  </si>
  <si>
    <t>LẬP BẢNG THANH TOÁN LƯƠNG THÁNG 8/N</t>
  </si>
  <si>
    <t>Số TT</t>
  </si>
  <si>
    <t>Họ tên</t>
  </si>
  <si>
    <t>Hệ số lương</t>
  </si>
  <si>
    <t>Hệ số phụ cấp</t>
  </si>
  <si>
    <t>Lương sản phẩm</t>
  </si>
  <si>
    <t>Số SP</t>
  </si>
  <si>
    <t>Đgiá</t>
  </si>
  <si>
    <t>Số tiền</t>
  </si>
  <si>
    <t>Lương thời gian</t>
  </si>
  <si>
    <t>Số công</t>
  </si>
  <si>
    <t>Nghỉ việc, hưởng lương</t>
  </si>
  <si>
    <t>Tổng số</t>
  </si>
  <si>
    <t>Tạm ứng kỳ I</t>
  </si>
  <si>
    <t>Các khoản khấu trừ vào lương</t>
  </si>
  <si>
    <t>Kỳ II được lĩnh</t>
  </si>
  <si>
    <t>Ký nhận</t>
  </si>
  <si>
    <t>Trần Nguyên Q</t>
  </si>
  <si>
    <t>Nguyễn Văn P</t>
  </si>
  <si>
    <t>Lê Văn B</t>
  </si>
  <si>
    <t>Hoàng Trọng C</t>
  </si>
  <si>
    <t>Tổng</t>
  </si>
  <si>
    <t>II.\ Bộ phận bán hàng</t>
  </si>
  <si>
    <t>Nguyễn Văn S</t>
  </si>
  <si>
    <t>Mai Văn X</t>
  </si>
  <si>
    <t>Phạm Ngọc T</t>
  </si>
  <si>
    <t>Trần Nguyên A</t>
  </si>
  <si>
    <t>III.\ Bộ phận sản xuất</t>
  </si>
  <si>
    <t>Trần Văn A</t>
  </si>
  <si>
    <t>Nguyễn Văn B</t>
  </si>
  <si>
    <t>Nguyễn Đình D</t>
  </si>
  <si>
    <t>Trần Đình G</t>
  </si>
  <si>
    <t>Nguyễn Văn H</t>
  </si>
  <si>
    <t>Bùi Đình K</t>
  </si>
  <si>
    <t>Nguyễn Văn L</t>
  </si>
  <si>
    <t>Nguyễn Qu‎y N</t>
  </si>
  <si>
    <t>Mai Văn M</t>
  </si>
  <si>
    <t>Tổng quỹ lương</t>
  </si>
  <si>
    <t>I.\Bộ phận Quản lý DN</t>
  </si>
  <si>
    <t>Nguyễn Thị X</t>
  </si>
  <si>
    <t>Vũ Ngọc V</t>
  </si>
  <si>
    <t>Trần Thị B</t>
  </si>
  <si>
    <t>Vũ Thị C</t>
  </si>
  <si>
    <t>Vũ Thị E</t>
  </si>
  <si>
    <t>Cao Thị F</t>
  </si>
  <si>
    <t>Phan Thị V</t>
  </si>
  <si>
    <t>BẢNG PHÂN BỔ TIỀN LƯƠNG VÀ BẢO HIỂM XÃ HỘI</t>
  </si>
  <si>
    <t>TK 622 - Chi phí NC trực tiếp</t>
  </si>
  <si>
    <t>TK 642 - Chi phí QLDN</t>
  </si>
  <si>
    <t>TK 641 - Chi phí bán hàng</t>
  </si>
  <si>
    <t>TK 338 (3383) - BHXH</t>
  </si>
  <si>
    <t>TK 334 - Phải trả người LĐ</t>
  </si>
  <si>
    <t>TK 353 (3531) - Qũy khen thưởng</t>
  </si>
  <si>
    <t>Đối tượng sử dụng
(Ghi Nợ các TK)</t>
  </si>
  <si>
    <t>Lương</t>
  </si>
  <si>
    <t>Thưởng thi đua</t>
  </si>
  <si>
    <t>Cộng có TK 334</t>
  </si>
  <si>
    <t>KPCĐ</t>
  </si>
  <si>
    <t>Cộng có TK 338</t>
  </si>
  <si>
    <t>Tổng cộng</t>
  </si>
  <si>
    <t>Đơn vị: Kg</t>
  </si>
  <si>
    <t>Đơn vị tính: 1000đ</t>
  </si>
  <si>
    <t>BẢNG TỔNG HỢP NHẬP – XUẤT – TỒN NGUYÊN VẬT LIỆU, CCDC</t>
  </si>
  <si>
    <t>Tên VL, CCDC, hàng hóa</t>
  </si>
  <si>
    <t>-      Phân xưởng (sản phẩm)…</t>
  </si>
  <si>
    <t>-      ….</t>
  </si>
  <si>
    <t>-      Phân xưởng……</t>
  </si>
  <si>
    <t xml:space="preserve">                                Ghi Có các TK
Đối tượng sử dụng
(Ghi Nợ các TK)</t>
  </si>
  <si>
    <t xml:space="preserve">                                                                                  (ĐVT: 1000đ)</t>
  </si>
  <si>
    <t>TK 621 - Chi phí NVL, vật liệu trực tiếp</t>
  </si>
  <si>
    <t>TK 623 - Chi phí sử dụng máy thi công</t>
  </si>
  <si>
    <t>TK 627 - Chi phí sản xuất chung</t>
  </si>
  <si>
    <t>TK 642 - Chi phí quản lý doanh nghiệp</t>
  </si>
  <si>
    <t>TK 142 - Chi phí trả trước ngắn hạn</t>
  </si>
  <si>
    <t>TK 242 - Chi phí trả trước dài hạn</t>
  </si>
  <si>
    <t>BẢNG PHÂN BỔ KHẤU HAO</t>
  </si>
  <si>
    <t>Chỉ tiêu</t>
  </si>
  <si>
    <t>Tỷ lệ KH
(Số năm sử dụng)</t>
  </si>
  <si>
    <t>Nơi SD</t>
  </si>
  <si>
    <t>Toàn DN</t>
  </si>
  <si>
    <t>Nguyên giá</t>
  </si>
  <si>
    <t>Số KH</t>
  </si>
  <si>
    <t>II.\ Số KH tăng trong tháng 8/N</t>
  </si>
  <si>
    <t>I.\Số KH trích tháng 7/N</t>
  </si>
  <si>
    <t>- Thiết bị sản xuất máy xe sợi</t>
  </si>
  <si>
    <t>III.\ Số KH giảm trong tháng 8/N</t>
  </si>
  <si>
    <t>- Nhà kho bán hàng</t>
  </si>
  <si>
    <t>IV.\ Số KH phải trích tháng 8/N (I+II-III)</t>
  </si>
  <si>
    <t>SỔ CHI TIẾT TK 621 - CHI PHÍ NGUYÊN VẬT LIỆU TRỰC TIẾP</t>
  </si>
  <si>
    <t>Ngày/tháng ghi sổ</t>
  </si>
  <si>
    <t>Xuất VLC VT001 cho SX</t>
  </si>
  <si>
    <t>Xuất VLC VT002 cho SX</t>
  </si>
  <si>
    <t>Xuất VLC VT003 cho SX</t>
  </si>
  <si>
    <t>Cộng số phát sinh</t>
  </si>
  <si>
    <t>Số dư cuối kỳ</t>
  </si>
  <si>
    <t>- Số dư đầu kỳ</t>
  </si>
  <si>
    <t>- Số phát sinh trong kỳ</t>
  </si>
  <si>
    <t>Ghi có TK 621</t>
  </si>
  <si>
    <t>TK đối ứng</t>
  </si>
  <si>
    <t>Ghi nợ TK 621</t>
  </si>
  <si>
    <t>SỔ CHI TIẾT TK 622 - CHI PHÍ NHÂN CÔNG TRỰC TIẾP</t>
  </si>
  <si>
    <t>Ghi nợ TK 622</t>
  </si>
  <si>
    <t>Tiền lương công nhân trực tiếp SX</t>
  </si>
  <si>
    <t>Các khoản trích theo lương của công nhân TTSX</t>
  </si>
  <si>
    <t>Ghi có TK 622</t>
  </si>
  <si>
    <t>SỔ CHI TIẾT TK 627 - CHI PHÍ SẢN XUẤT CHUNG</t>
  </si>
  <si>
    <t>Ghi nợ TK 627</t>
  </si>
  <si>
    <t>KH TSCĐ của phân xưởng SX</t>
  </si>
  <si>
    <t>Tiền lương của nhân viên phân xưởng</t>
  </si>
  <si>
    <t>Các khoản trích theo lương</t>
  </si>
  <si>
    <t>Trả tiền điện cho phân xưởng</t>
  </si>
  <si>
    <t>Ghi có TK 627</t>
  </si>
  <si>
    <t>Ghi nợ TK 154</t>
  </si>
  <si>
    <t>Sổ CT 621</t>
  </si>
  <si>
    <t>Chi phí NVL trực tiếp</t>
  </si>
  <si>
    <t>Chi phí SX chung</t>
  </si>
  <si>
    <t>Tháng 8/N - 1.000đ (Sheet : B-TGTSP)</t>
  </si>
  <si>
    <t>BẢNG TÍNH GIÁ THÀNH SP A</t>
  </si>
  <si>
    <t>Khoản mục</t>
  </si>
  <si>
    <t>1.\ NVL trực tiếp (621)</t>
  </si>
  <si>
    <t>2.\ Nhân công trực tiếp (622)</t>
  </si>
  <si>
    <t>3.\ Chi phí SX chung (627)</t>
  </si>
  <si>
    <t>CP SX dở dang đầu kỳ</t>
  </si>
  <si>
    <t>CP SX phát sinh trong kỳ</t>
  </si>
  <si>
    <t>CP SX dở dang cuối kỳ</t>
  </si>
  <si>
    <t>Tổng giá thành sản phẩm</t>
  </si>
  <si>
    <t>Giá thành đơn vị</t>
  </si>
  <si>
    <t>Số phát sinh trong kỳ</t>
  </si>
  <si>
    <t>SỔ CHI TIẾT TK 641 - CHI PHÍ BÁN HÀNG</t>
  </si>
  <si>
    <t>Ghi nợ TK 641</t>
  </si>
  <si>
    <t>Tiền lương của nhân viên bán hàng</t>
  </si>
  <si>
    <t>KH TSCĐ của bộ phận bán hàng</t>
  </si>
  <si>
    <t>Trả tiền điện cho bộ phận bán hàng</t>
  </si>
  <si>
    <t>Ghi có TK 641</t>
  </si>
  <si>
    <t>- Số dư cuối kỳ</t>
  </si>
  <si>
    <t>SỔ CHI TIẾT TK 642 - CHI PHÍ QUẢN LÝ DOANH NGHIỆP</t>
  </si>
  <si>
    <t>Chi sửa chữa máy vi tính</t>
  </si>
  <si>
    <t>Trả tiền điện cho bộ phận QLDN</t>
  </si>
  <si>
    <t>Ghi nợ TK 642</t>
  </si>
  <si>
    <t>Ghi có TK 642</t>
  </si>
  <si>
    <t>SỔ CHI TIẾT TK 632 - GIÁ VỐN HÀNG BÁN</t>
  </si>
  <si>
    <t>Giá vốn</t>
  </si>
  <si>
    <t>HĐ - 01942</t>
  </si>
  <si>
    <t>HĐ - 01943</t>
  </si>
  <si>
    <t>HĐ- 01944</t>
  </si>
  <si>
    <t>HĐ - 01945</t>
  </si>
  <si>
    <t>HĐ - 01946</t>
  </si>
  <si>
    <t>HĐ - 01947</t>
  </si>
  <si>
    <t>Xuất bán cho Cty Y</t>
  </si>
  <si>
    <t>Xuất bán cho Cty Z</t>
  </si>
  <si>
    <t>Xuất bán thêm cho Cty Y</t>
  </si>
  <si>
    <t>Xuất bán thêm cho Cty Z</t>
  </si>
  <si>
    <t>Kết chuyển giá vốn</t>
  </si>
  <si>
    <t>SỔ CHI TIẾT 511 - DOANH THU BÁN HÀNG SẢN PHẨM A</t>
  </si>
  <si>
    <t>Các khoản giảm trừ</t>
  </si>
  <si>
    <t>Chiết khấu TM cho công ty Z</t>
  </si>
  <si>
    <t>Doanh thu thuần</t>
  </si>
  <si>
    <t>Giá vốn hàng bán</t>
  </si>
  <si>
    <t>Lãi gộp tiêu thụ</t>
  </si>
  <si>
    <t>SỐ CHI TIẾT 911 - XÁC ĐỊNH KẾT QUẢ KINH DOANH</t>
  </si>
  <si>
    <t>Ghi nợ TK 911</t>
  </si>
  <si>
    <t>Ghi có TK 911</t>
  </si>
  <si>
    <t>Sổ CT 641</t>
  </si>
  <si>
    <t>Sổ CT 642</t>
  </si>
  <si>
    <t>Sổ CT 511</t>
  </si>
  <si>
    <t>Biên bản thanh lý số 25</t>
  </si>
  <si>
    <t>Sổ CT 632</t>
  </si>
  <si>
    <t>Cộng số PS nợ</t>
  </si>
  <si>
    <t>Cộng số PS có</t>
  </si>
  <si>
    <t>15213</t>
  </si>
  <si>
    <t>331-TP</t>
  </si>
  <si>
    <t>15211</t>
  </si>
  <si>
    <t>15212</t>
  </si>
  <si>
    <t>NH1036CT</t>
  </si>
  <si>
    <t>Xuất bán TP thu =TGNH</t>
  </si>
  <si>
    <t>GBN1150CT</t>
  </si>
  <si>
    <t>PNK12</t>
  </si>
  <si>
    <t>PXK15</t>
  </si>
  <si>
    <t>PXK16</t>
  </si>
  <si>
    <t>PXK17</t>
  </si>
  <si>
    <t>PNK13</t>
  </si>
  <si>
    <t>PXK18</t>
  </si>
  <si>
    <t>PXK19</t>
  </si>
  <si>
    <t>PXK20</t>
  </si>
  <si>
    <t>PNK14</t>
  </si>
  <si>
    <t>PNK120</t>
  </si>
  <si>
    <t>PXK120</t>
  </si>
  <si>
    <t>HD2589</t>
  </si>
  <si>
    <t>PC123</t>
  </si>
  <si>
    <t>Chi thanh lý =TM</t>
  </si>
  <si>
    <t>PC128</t>
  </si>
  <si>
    <t>PT312</t>
  </si>
  <si>
    <t>PC121</t>
  </si>
  <si>
    <t>NH1320CT</t>
  </si>
  <si>
    <t>GBC1350CT</t>
  </si>
  <si>
    <t>3531</t>
  </si>
  <si>
    <t>3389</t>
  </si>
  <si>
    <t>Ghi có TK 334 - Phải trả người lao động</t>
  </si>
  <si>
    <t>Ghi cóTK 338 - Phải trả, phải nộp khác</t>
  </si>
  <si>
    <t>TK 627 - Chi phí SX chung</t>
  </si>
  <si>
    <t>Kết chuyển lợi nhuận sau thuế</t>
  </si>
  <si>
    <t>821</t>
  </si>
  <si>
    <t>3334</t>
  </si>
  <si>
    <t>UNC10876</t>
  </si>
  <si>
    <t>KC Chi phí khác</t>
  </si>
  <si>
    <t>KC thu nhập khác</t>
  </si>
  <si>
    <t>KC chi phí tài chính</t>
  </si>
  <si>
    <t>KC Giá vốn hàng bán trong kỳ</t>
  </si>
  <si>
    <t>KC Chi phí bán hàng PS TK</t>
  </si>
  <si>
    <t>KC Chi phí quản lý PS TK</t>
  </si>
  <si>
    <t>KC Doanh thu thuần</t>
  </si>
  <si>
    <t>KC chi phí thuế thu nhập DN</t>
  </si>
  <si>
    <t>SỔ CHI TIẾT TK 155 - THÀNH PHẨM</t>
  </si>
  <si>
    <t>BẢNG PHÂN BỔ NGUYÊN LIỆU, VẬT LIỆU, CÔNG CỤ, DỤNG CỤ</t>
  </si>
  <si>
    <t>TK
 đối ứng</t>
  </si>
  <si>
    <t>TK 
đối ứng</t>
  </si>
  <si>
    <t>Sổ CT 622</t>
  </si>
  <si>
    <t>Sổ CT 627</t>
  </si>
  <si>
    <t>BÁO CÁO KẾT QUẢ KINH DOANH</t>
  </si>
  <si>
    <t>1. Doanh thu bán hàng và cung cấp dịch vụ</t>
  </si>
  <si>
    <t>2. Khoản giảm trừ doanh thu</t>
  </si>
  <si>
    <t>3. Doanh thu thuần</t>
  </si>
  <si>
    <t>4. Giá vốn hàng bán</t>
  </si>
  <si>
    <t>5. Lợi nhuận gộp</t>
  </si>
  <si>
    <t>6. Doanh thu tài chính</t>
  </si>
  <si>
    <t>7. Chi phí tài chính</t>
  </si>
  <si>
    <t>8. Chi phí bán hàng</t>
  </si>
  <si>
    <t>9. Chi phí quản lý doanh nghiệp</t>
  </si>
  <si>
    <t>10. Lợi nhuận thuần từ hoạt động kinh doanh</t>
  </si>
  <si>
    <t>11. Thu nhập khác</t>
  </si>
  <si>
    <t>12. Chi phí khác</t>
  </si>
  <si>
    <t>13. Kết quả khác</t>
  </si>
  <si>
    <t>14. Tổng lợi nhuận kế toán trước thuế TNDN</t>
  </si>
  <si>
    <t>15. Chi phí thuế thu nhập doanh nghiệp</t>
  </si>
  <si>
    <t>16. Lợi nhuận sau thuế</t>
  </si>
  <si>
    <t>= (10) + (13)</t>
  </si>
  <si>
    <t>= (11) - (12)</t>
  </si>
  <si>
    <t>= (5) + (6) - (7) - (8) - (9)</t>
  </si>
  <si>
    <t xml:space="preserve"> = (1) - (2)</t>
  </si>
  <si>
    <t xml:space="preserve"> = (3) - (4)</t>
  </si>
  <si>
    <t>= (14) - (15)</t>
  </si>
  <si>
    <t>Loại TK</t>
  </si>
  <si>
    <t>Nợ ĐK</t>
  </si>
  <si>
    <t>Có ĐK</t>
  </si>
  <si>
    <t>Sổ Nhật ký chung tháng 8/ năm N</t>
  </si>
  <si>
    <t>Bảng số dư đầu kỳ tháng 7/ năm N</t>
  </si>
  <si>
    <t>Ngày GD</t>
  </si>
  <si>
    <t>Số CT</t>
  </si>
  <si>
    <t>TK Nợ</t>
  </si>
  <si>
    <t>TK Có</t>
  </si>
  <si>
    <t>Số PS</t>
  </si>
  <si>
    <t>Mua văn phòng phẩm</t>
  </si>
  <si>
    <t>Xuất bán 10,000 SP A theo giá vốn</t>
  </si>
  <si>
    <t>Doanh thu bán số SP trên =TGNH</t>
  </si>
  <si>
    <t>Xuất kho 5,000 SPA cho Cty Y</t>
  </si>
  <si>
    <t>Xuất kho 2,000 SPA cho Cty Z</t>
  </si>
  <si>
    <t>Trả lương CNV kỳ trước</t>
  </si>
  <si>
    <t>CTy Z thanh toán =CK</t>
  </si>
  <si>
    <t>Xuất kho 400 SPA cho CTy Y</t>
  </si>
  <si>
    <t>Xuất kho 4,000 SPA</t>
  </si>
  <si>
    <t>Xuất kho 6,000 SPA cho CTy Z</t>
  </si>
  <si>
    <t>Thanh toán lãi vay ngắn hạn =TM</t>
  </si>
  <si>
    <t>BHXH trả thay lương trong tháng</t>
  </si>
  <si>
    <t>Nộp KPCĐ cho cấp trên</t>
  </si>
  <si>
    <t>Nộp BHXH cho cấp trên</t>
  </si>
  <si>
    <t>Thanh toán lương cho CNV</t>
  </si>
  <si>
    <t>Thanh toán BHXH</t>
  </si>
  <si>
    <t>Khấu hao TSCĐ của phân xưởng SX</t>
  </si>
  <si>
    <t>Khấu hao TSCĐ của bộ phận BH</t>
  </si>
  <si>
    <t>Thuế GTGT được khấu trừ</t>
  </si>
  <si>
    <t>Rút tiền gửi NH về quỹ TM</t>
  </si>
  <si>
    <t>Nhập kho vật liệu chính mua ngoài</t>
  </si>
  <si>
    <t>Chi phí vận chuyển vật liệu trả bằng TM</t>
  </si>
  <si>
    <t>Xuất vật liệu chính 001 vào sản xuất</t>
  </si>
  <si>
    <t>Xuất vật liệu chính 002 vào sản xuất</t>
  </si>
  <si>
    <t>Xuất vật liệu chính 003 vào sản xuất</t>
  </si>
  <si>
    <t>Mua thiết bị sản xuất máy xe sợi = CK</t>
  </si>
  <si>
    <t>Mua thiết bị xuất máy xe sợi = TM</t>
  </si>
  <si>
    <t>Ghi chuyển nguồn thiết bị</t>
  </si>
  <si>
    <t>Nhập kho 15,000 SPA từ SX</t>
  </si>
  <si>
    <t>Thuế GTGT đầu ra</t>
  </si>
  <si>
    <t>Doanh thu bán 2,000 SPA chưa thu tiền</t>
  </si>
  <si>
    <t>Nhập kho 10,000 thành phẩm từ sản xuất</t>
  </si>
  <si>
    <t>Cty Y thanh toán tiền hàng = CK</t>
  </si>
  <si>
    <t>Doanh thu bán 400 SP chưa thu tiền</t>
  </si>
  <si>
    <t>HĐ00014 -TP</t>
  </si>
  <si>
    <t>HĐ0007411</t>
  </si>
  <si>
    <t>HĐ01942</t>
  </si>
  <si>
    <t>HĐ01943</t>
  </si>
  <si>
    <t>HĐ01944</t>
  </si>
  <si>
    <t>HĐ10945</t>
  </si>
  <si>
    <t>QĐ09</t>
  </si>
  <si>
    <t>Thu tiền bán hàng =TGNH</t>
  </si>
  <si>
    <t>Giá trị hao mòn của nhà kho được thanh lý</t>
  </si>
  <si>
    <t>Giá trị còn lại</t>
  </si>
  <si>
    <t>Thu tiền bán phế liệu</t>
  </si>
  <si>
    <t>Doanh thu bán 6,000 SPA chưa thu tiền</t>
  </si>
  <si>
    <t>Chiết khấu thương mại cho Cty Z</t>
  </si>
  <si>
    <t>Thuế GTGT tương ứng</t>
  </si>
  <si>
    <t>Chi sửa máy tính VP =TM</t>
  </si>
  <si>
    <t>Thanh toán tiền mua VL cho Cty Thịnh Phát  = CK</t>
  </si>
  <si>
    <t>Công ty Z thanh toán tiền hàng còn nợ</t>
  </si>
  <si>
    <t>Tiền lương trả cho CN trực tiếp SX</t>
  </si>
  <si>
    <t>Tiền lương trả cho NV quản lý phân xưởng</t>
  </si>
  <si>
    <t>Tiền lương trả cho NV bán hàng</t>
  </si>
  <si>
    <t>Tiền lương trả cho NV quản l? DN</t>
  </si>
  <si>
    <t>Các khoản trích theo lương của CN TT SX</t>
  </si>
  <si>
    <t>Các khoản trích theo lương của NV QL PX</t>
  </si>
  <si>
    <t>Các khoản trích theo lương của NV BH</t>
  </si>
  <si>
    <t>Các khoản trích theo lương của NV QLDN</t>
  </si>
  <si>
    <t>Các khoản khấu trừ vào lương của CNV</t>
  </si>
  <si>
    <t>Nộp BHYT cho cấp trên</t>
  </si>
  <si>
    <t>Nộp BHTN cho cấp trên</t>
  </si>
  <si>
    <t>Thanh toán tiền thưởng thi đua</t>
  </si>
  <si>
    <t>Trả tiền điện cho PX SX</t>
  </si>
  <si>
    <t>Trả tiền điện cho bộ phận BH</t>
  </si>
  <si>
    <t>Trả tiền điện cho VP Cty</t>
  </si>
  <si>
    <t>Khấu hao TSCĐ của VP QL Cty</t>
  </si>
  <si>
    <t>Nhập kho 5,000 thành phẩm từ SX</t>
  </si>
  <si>
    <t>Kết chuyển chi phí NVL trực tiếp</t>
  </si>
  <si>
    <t>Kết chuyển chi phí NC trực tiếp</t>
  </si>
  <si>
    <t>Kết chuyển chi phí SX chung</t>
  </si>
  <si>
    <t>Kết chuyển chiết khấu thương mại</t>
  </si>
  <si>
    <t>Kết chuyển doanh thu thuần</t>
  </si>
  <si>
    <t>Kết chuyển giá vốn hàng bán trong kỳ</t>
  </si>
  <si>
    <t>Kết chuyển chi phí bán hàng</t>
  </si>
  <si>
    <t>Kết chuyển chi phí quản lý doanh nghiệp</t>
  </si>
  <si>
    <t>Kết chuyển chi phí khác</t>
  </si>
  <si>
    <t>Kết chuyển thu nhập khác</t>
  </si>
  <si>
    <t>Kết chuyển chi phí tài chính</t>
  </si>
  <si>
    <t>Thuế thu nhập DN phải nộp</t>
  </si>
  <si>
    <t>Nộp thuế thu nhập DN</t>
  </si>
  <si>
    <t>Kết chuyển chi phí thuế TNDN</t>
  </si>
  <si>
    <r>
      <t xml:space="preserve">Tháng 8/N - 1.000đ (Sheet : </t>
    </r>
    <r>
      <rPr>
        <b/>
        <sz val="14"/>
        <rFont val="Times New Roman"/>
        <family val="1"/>
      </rPr>
      <t>Ct-641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</si>
  <si>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Ct-642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</si>
  <si>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Ct-632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</si>
  <si>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Ct-511</t>
    </r>
    <r>
      <rPr>
        <sz val="14"/>
        <rFont val="Times New Roman"/>
        <family val="1"/>
      </rPr>
      <t>)</t>
    </r>
  </si>
  <si>
    <r>
      <t xml:space="preserve">Tháng 8/N - 1000đ (Sheet : </t>
    </r>
    <r>
      <rPr>
        <b/>
        <sz val="14"/>
        <rFont val="Times New Roman"/>
        <family val="1"/>
      </rPr>
      <t>Ct-911</t>
    </r>
    <r>
      <rPr>
        <sz val="14"/>
        <rFont val="Times New Roman"/>
        <family val="1"/>
      </rPr>
      <t>)</t>
    </r>
  </si>
  <si>
    <t>06/08</t>
  </si>
  <si>
    <t>Tiền lương của bộ phận quản lý DN</t>
  </si>
  <si>
    <t>KH TSCĐ của bộ phận quản lý DN</t>
  </si>
  <si>
    <t>Xuất bán thành phẩm thu TGNH</t>
  </si>
  <si>
    <t>PC 125</t>
  </si>
  <si>
    <t>Tài khoản:  …….…….……….Tên kho………………………</t>
  </si>
  <si>
    <t xml:space="preserve">Tên nhãn hiệu, quy cách vật tư, sản phẩm, hàng hóa: </t>
  </si>
  <si>
    <t>Tài khoản:  ……………….Tên kho………………………</t>
  </si>
  <si>
    <t>Tài khoản:  ………………….Tên kho………………………</t>
  </si>
  <si>
    <r>
      <t xml:space="preserve">Đơn vị tính 1,000đ (Sheet : </t>
    </r>
    <r>
      <rPr>
        <b/>
        <sz val="12"/>
        <rFont val="Times New Roman"/>
        <family val="1"/>
      </rPr>
      <t>Btt-Luong</t>
    </r>
    <r>
      <rPr>
        <sz val="12"/>
        <rFont val="Times New Roman"/>
        <family val="1"/>
      </rPr>
      <t>)</t>
    </r>
  </si>
  <si>
    <r>
      <t xml:space="preserve">Tháng 8/N, đơn vị tính 1.000đ (Sheet : </t>
    </r>
    <r>
      <rPr>
        <b/>
        <sz val="14"/>
        <rFont val="Times New Roman"/>
        <family val="1"/>
      </rPr>
      <t>BPB-Luong</t>
    </r>
    <r>
      <rPr>
        <sz val="14"/>
        <rFont val="Times New Roman"/>
        <family val="1"/>
      </rPr>
      <t>)</t>
    </r>
  </si>
  <si>
    <r>
      <t xml:space="preserve">Tháng 8/N (Sheet: </t>
    </r>
    <r>
      <rPr>
        <b/>
        <sz val="14"/>
        <rFont val="Times New Roman"/>
        <family val="1"/>
      </rPr>
      <t>Ct-VL</t>
    </r>
    <r>
      <rPr>
        <sz val="14"/>
        <rFont val="Times New Roman"/>
        <family val="1"/>
      </rPr>
      <t>)</t>
    </r>
  </si>
  <si>
    <r>
      <t xml:space="preserve">Tháng 8/N, đơn vị tính 1.000đ (Sheet : </t>
    </r>
    <r>
      <rPr>
        <b/>
        <sz val="14"/>
        <rFont val="Times New Roman"/>
        <family val="1"/>
      </rPr>
      <t>BangTH-NVL)</t>
    </r>
  </si>
  <si>
    <r>
      <t xml:space="preserve">Tháng 8/N, đơn vị tính 1.000đ (Sheet : </t>
    </r>
    <r>
      <rPr>
        <b/>
        <sz val="14"/>
        <rFont val="Times New Roman"/>
        <family val="1"/>
      </rPr>
      <t>Bang PBNVL)</t>
    </r>
  </si>
  <si>
    <r>
      <t xml:space="preserve">Tháng 8/N - Đơn vị tính 1.000đ (Sheet : </t>
    </r>
    <r>
      <rPr>
        <b/>
        <sz val="14"/>
        <rFont val="Times New Roman"/>
        <family val="1"/>
      </rPr>
      <t>Pbo-kh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</si>
  <si>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Ct-621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</si>
  <si>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Ct-622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</si>
  <si>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Ct-627</t>
    </r>
    <r>
      <rPr>
        <sz val="14"/>
        <rFont val="Times New Roman"/>
        <family val="1"/>
      </rPr>
      <t>)</t>
    </r>
  </si>
  <si>
    <r>
      <t xml:space="preserve">Tháng 8/N (Sheet: </t>
    </r>
    <r>
      <rPr>
        <b/>
        <sz val="14"/>
        <rFont val="Times New Roman"/>
        <family val="1"/>
      </rPr>
      <t>Ct-155</t>
    </r>
    <r>
      <rPr>
        <sz val="14"/>
        <rFont val="Times New Roman"/>
        <family val="1"/>
      </rPr>
      <t>)</t>
    </r>
  </si>
  <si>
    <r>
      <t xml:space="preserve">Tháng 8/N - Đơn vị tính 1.000đ (Sheet : </t>
    </r>
    <r>
      <rPr>
        <b/>
        <sz val="18"/>
        <rFont val="Times New Roman"/>
        <family val="1"/>
      </rPr>
      <t>BCKQKD</t>
    </r>
    <r>
      <rPr>
        <sz val="18"/>
        <rFont val="Times New Roman"/>
        <family val="1"/>
      </rPr>
      <t>)</t>
    </r>
  </si>
  <si>
    <t>- NVL chính (1521)</t>
  </si>
  <si>
    <t>- NVL phụ (1522)</t>
  </si>
  <si>
    <t>SỔ CHI TIẾT CHI PHÍ SX TK 154 - CHI PHÍ SẢN XUẤT KD DỞ DANG</t>
  </si>
  <si>
    <t>Tháng 9/N - 1.000đ (Sheet : Ct-154)</t>
  </si>
  <si>
    <t>Chi phí Ncông trực tiếp</t>
  </si>
  <si>
    <t>Cộng số phát sinh 154</t>
  </si>
  <si>
    <t>Tổng giá thành SP HT</t>
  </si>
  <si>
    <t>Dthu bán 5,000 SPA chưa thu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</si>
</sst>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VND&quot;#,##0_);[Red]\(&quot;VND&quot;#,##0\)"/>
    <numFmt numFmtId="171" formatCode="0.0%"/>
    <numFmt numFmtId="172" formatCode="#,##0.0"/>
    <numFmt numFmtId="173" formatCode="_(* #,##0_);_(* \(#,##0\);_(* &quot;-&quot;??_);_(@_)"/>
    <numFmt numFmtId="174" formatCode="_(* #,##0.000_);_(* \(#,##0.000\);_(* &quot;-&quot;??_);_(@_)"/>
    <numFmt numFmtId="175" formatCode="dd/mm"/>
  </numFmts>
  <fonts count="45">
    <font>
      <sz val="14"/>
      <name val=".VnTime"/>
    </font>
    <font>
      <sz val="14"/>
      <name val=".VnTime"/>
      <family val="2"/>
    </font>
    <font>
      <sz val="10"/>
      <name val="Arial"/>
      <family val="2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0"/>
      <name val="VNtimes new roman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.VnTime"/>
      <family val="2"/>
    </font>
    <font>
      <b/>
      <sz val="1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indexed="18"/>
      <name val="Times New Roman"/>
      <family val="1"/>
    </font>
    <font>
      <sz val="14"/>
      <color rgb="FFC00000"/>
      <name val="Times New Roman"/>
      <family val="1"/>
    </font>
    <font>
      <b/>
      <sz val="14"/>
      <color indexed="53"/>
      <name val="Times New Roman"/>
      <family val="1"/>
    </font>
    <font>
      <b/>
      <i/>
      <u/>
      <sz val="13"/>
      <color indexed="18"/>
      <name val="Times New Roman"/>
      <family val="1"/>
    </font>
    <font>
      <b/>
      <i/>
      <sz val="13"/>
      <name val="Times New Roman"/>
      <family val="1"/>
    </font>
    <font>
      <sz val="13"/>
      <name val="Times New Roman"/>
      <family val="1"/>
    </font>
    <font>
      <b/>
      <sz val="13"/>
      <color indexed="18"/>
      <name val="Times New Roman"/>
      <family val="1"/>
    </font>
    <font>
      <b/>
      <u val="singleAccounting"/>
      <sz val="13"/>
      <color rgb="FF002060"/>
      <name val="Times New Roman"/>
      <family val="1"/>
    </font>
    <font>
      <b/>
      <u val="singleAccounting"/>
      <sz val="13"/>
      <color indexed="10"/>
      <name val="Times New Roman"/>
      <family val="1"/>
    </font>
    <font>
      <b/>
      <i/>
      <u/>
      <sz val="14"/>
      <color indexed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8"/>
      <name val="Times New Roman"/>
      <family val="1"/>
    </font>
    <font>
      <b/>
      <sz val="12"/>
      <color indexed="10"/>
      <name val="Times New Roman"/>
      <family val="1"/>
    </font>
    <font>
      <sz val="12"/>
      <color indexed="18"/>
      <name val="Times New Roman"/>
      <family val="1"/>
    </font>
    <font>
      <b/>
      <sz val="14"/>
      <color rgb="FF002060"/>
      <name val="Times New Roman"/>
      <family val="1"/>
    </font>
    <font>
      <b/>
      <sz val="14"/>
      <color indexed="10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b/>
      <sz val="14"/>
      <color rgb="FFFF0000"/>
      <name val="Times New Roman"/>
      <family val="1"/>
    </font>
    <font>
      <i/>
      <sz val="14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b/>
      <u/>
      <sz val="14"/>
      <color indexed="53"/>
      <name val="Times New Roman"/>
      <family val="1"/>
    </font>
    <font>
      <sz val="14"/>
      <color indexed="18"/>
      <name val="Times New Roman"/>
      <family val="1"/>
    </font>
    <font>
      <sz val="14"/>
      <color rgb="FFFF0000"/>
      <name val="Times New Roman"/>
      <family val="1"/>
    </font>
    <font>
      <b/>
      <sz val="18"/>
      <color indexed="18"/>
      <name val="Times New Roman"/>
      <family val="1"/>
    </font>
    <font>
      <i/>
      <sz val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</fills>
  <borders count="10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auto="1"/>
      </left>
      <right style="thin">
        <color indexed="64"/>
      </right>
      <top style="double">
        <color auto="1"/>
      </top>
      <bottom/>
      <diagonal style="thin">
        <color indexed="64"/>
      </diagonal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7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0" fontId="6" fillId="0" borderId="0"/>
    <xf numFmtId="0" fontId="2" fillId="0" borderId="1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8" fillId="0" borderId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/>
  </cellStyleXfs>
  <cellXfs count="460">
    <xf numFmtId="0" fontId="0" fillId="0" borderId="0" xfId="0"/>
    <xf numFmtId="0" fontId="13" fillId="0" borderId="0" xfId="0" applyFont="1"/>
    <xf numFmtId="0" fontId="15" fillId="2" borderId="11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3" fillId="0" borderId="13" xfId="0" applyFont="1" applyBorder="1"/>
    <xf numFmtId="0" fontId="13" fillId="0" borderId="14" xfId="0" applyFont="1" applyBorder="1"/>
    <xf numFmtId="0" fontId="13" fillId="0" borderId="78" xfId="0" quotePrefix="1" applyFont="1" applyBorder="1"/>
    <xf numFmtId="0" fontId="13" fillId="0" borderId="20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72" xfId="0" quotePrefix="1" applyFont="1" applyBorder="1"/>
    <xf numFmtId="3" fontId="15" fillId="0" borderId="3" xfId="0" applyNumberFormat="1" applyFont="1" applyBorder="1"/>
    <xf numFmtId="3" fontId="15" fillId="0" borderId="4" xfId="0" applyNumberFormat="1" applyFont="1" applyBorder="1"/>
    <xf numFmtId="16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3" fontId="13" fillId="0" borderId="3" xfId="0" applyNumberFormat="1" applyFont="1" applyBorder="1"/>
    <xf numFmtId="3" fontId="13" fillId="0" borderId="21" xfId="0" applyNumberFormat="1" applyFont="1" applyBorder="1"/>
    <xf numFmtId="0" fontId="13" fillId="0" borderId="4" xfId="0" applyFont="1" applyBorder="1"/>
    <xf numFmtId="3" fontId="13" fillId="0" borderId="4" xfId="0" applyNumberFormat="1" applyFont="1" applyBorder="1"/>
    <xf numFmtId="0" fontId="14" fillId="0" borderId="3" xfId="0" applyFont="1" applyBorder="1" applyAlignment="1">
      <alignment horizontal="center"/>
    </xf>
    <xf numFmtId="0" fontId="13" fillId="0" borderId="21" xfId="0" applyFont="1" applyBorder="1"/>
    <xf numFmtId="0" fontId="13" fillId="0" borderId="3" xfId="0" quotePrefix="1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22" xfId="0" applyFont="1" applyBorder="1"/>
    <xf numFmtId="0" fontId="13" fillId="0" borderId="7" xfId="0" applyFont="1" applyBorder="1"/>
    <xf numFmtId="16" fontId="13" fillId="0" borderId="3" xfId="0" quotePrefix="1" applyNumberFormat="1" applyFont="1" applyBorder="1" applyAlignment="1">
      <alignment horizontal="center"/>
    </xf>
    <xf numFmtId="0" fontId="13" fillId="0" borderId="89" xfId="0" applyFont="1" applyBorder="1"/>
    <xf numFmtId="0" fontId="13" fillId="0" borderId="90" xfId="0" applyFont="1" applyBorder="1"/>
    <xf numFmtId="16" fontId="13" fillId="0" borderId="90" xfId="0" quotePrefix="1" applyNumberFormat="1" applyFont="1" applyBorder="1" applyAlignment="1">
      <alignment horizontal="center"/>
    </xf>
    <xf numFmtId="0" fontId="13" fillId="0" borderId="90" xfId="0" applyFont="1" applyBorder="1" applyAlignment="1">
      <alignment horizontal="center"/>
    </xf>
    <xf numFmtId="3" fontId="13" fillId="0" borderId="90" xfId="0" applyNumberFormat="1" applyFont="1" applyBorder="1"/>
    <xf numFmtId="3" fontId="13" fillId="0" borderId="91" xfId="0" applyNumberFormat="1" applyFont="1" applyBorder="1"/>
    <xf numFmtId="0" fontId="13" fillId="0" borderId="83" xfId="0" applyFont="1" applyBorder="1"/>
    <xf numFmtId="0" fontId="13" fillId="0" borderId="84" xfId="0" applyFont="1" applyBorder="1"/>
    <xf numFmtId="16" fontId="13" fillId="0" borderId="84" xfId="0" quotePrefix="1" applyNumberFormat="1" applyFont="1" applyBorder="1" applyAlignment="1">
      <alignment horizontal="center"/>
    </xf>
    <xf numFmtId="3" fontId="13" fillId="0" borderId="84" xfId="0" applyNumberFormat="1" applyFont="1" applyBorder="1"/>
    <xf numFmtId="0" fontId="13" fillId="0" borderId="84" xfId="0" quotePrefix="1" applyFont="1" applyBorder="1" applyAlignment="1">
      <alignment horizontal="center"/>
    </xf>
    <xf numFmtId="0" fontId="14" fillId="0" borderId="84" xfId="0" applyFont="1" applyBorder="1" applyAlignment="1">
      <alignment horizontal="center"/>
    </xf>
    <xf numFmtId="3" fontId="15" fillId="0" borderId="84" xfId="0" applyNumberFormat="1" applyFont="1" applyBorder="1"/>
    <xf numFmtId="4" fontId="15" fillId="0" borderId="84" xfId="0" applyNumberFormat="1" applyFont="1" applyBorder="1"/>
    <xf numFmtId="3" fontId="15" fillId="0" borderId="85" xfId="0" applyNumberFormat="1" applyFont="1" applyBorder="1"/>
    <xf numFmtId="0" fontId="13" fillId="0" borderId="84" xfId="0" applyFont="1" applyBorder="1" applyAlignment="1">
      <alignment horizontal="center"/>
    </xf>
    <xf numFmtId="3" fontId="13" fillId="0" borderId="85" xfId="0" applyNumberFormat="1" applyFont="1" applyBorder="1"/>
    <xf numFmtId="0" fontId="13" fillId="0" borderId="86" xfId="0" applyFont="1" applyBorder="1"/>
    <xf numFmtId="0" fontId="13" fillId="0" borderId="87" xfId="0" applyFont="1" applyBorder="1"/>
    <xf numFmtId="0" fontId="13" fillId="0" borderId="88" xfId="0" applyFont="1" applyBorder="1"/>
    <xf numFmtId="0" fontId="15" fillId="2" borderId="66" xfId="0" applyFont="1" applyFill="1" applyBorder="1" applyAlignment="1">
      <alignment horizontal="center" vertical="center" wrapText="1"/>
    </xf>
    <xf numFmtId="0" fontId="13" fillId="0" borderId="91" xfId="0" applyFont="1" applyBorder="1"/>
    <xf numFmtId="3" fontId="16" fillId="5" borderId="84" xfId="0" applyNumberFormat="1" applyFont="1" applyFill="1" applyBorder="1"/>
    <xf numFmtId="0" fontId="13" fillId="0" borderId="85" xfId="0" applyFont="1" applyBorder="1"/>
    <xf numFmtId="0" fontId="13" fillId="0" borderId="8" xfId="0" applyFont="1" applyBorder="1"/>
    <xf numFmtId="0" fontId="13" fillId="0" borderId="10" xfId="0" applyFont="1" applyBorder="1"/>
    <xf numFmtId="3" fontId="13" fillId="0" borderId="8" xfId="0" applyNumberFormat="1" applyFont="1" applyBorder="1"/>
    <xf numFmtId="0" fontId="13" fillId="0" borderId="3" xfId="0" applyFont="1" applyBorder="1" applyAlignment="1">
      <alignment horizontal="left"/>
    </xf>
    <xf numFmtId="2" fontId="13" fillId="0" borderId="4" xfId="0" applyNumberFormat="1" applyFont="1" applyBorder="1"/>
    <xf numFmtId="3" fontId="17" fillId="0" borderId="3" xfId="0" applyNumberFormat="1" applyFont="1" applyBorder="1"/>
    <xf numFmtId="3" fontId="13" fillId="0" borderId="0" xfId="0" applyNumberFormat="1" applyFont="1"/>
    <xf numFmtId="0" fontId="13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173" fontId="20" fillId="0" borderId="0" xfId="0" applyNumberFormat="1" applyFont="1"/>
    <xf numFmtId="49" fontId="20" fillId="0" borderId="9" xfId="0" applyNumberFormat="1" applyFont="1" applyBorder="1" applyAlignment="1">
      <alignment horizontal="right"/>
    </xf>
    <xf numFmtId="3" fontId="20" fillId="0" borderId="8" xfId="7" applyNumberFormat="1" applyFont="1" applyBorder="1" applyAlignment="1">
      <alignment horizontal="right"/>
    </xf>
    <xf numFmtId="3" fontId="20" fillId="0" borderId="10" xfId="7" applyNumberFormat="1" applyFont="1" applyBorder="1"/>
    <xf numFmtId="49" fontId="20" fillId="0" borderId="2" xfId="0" applyNumberFormat="1" applyFont="1" applyBorder="1" applyAlignment="1">
      <alignment horizontal="right"/>
    </xf>
    <xf numFmtId="3" fontId="20" fillId="0" borderId="3" xfId="7" applyNumberFormat="1" applyFont="1" applyBorder="1" applyAlignment="1">
      <alignment horizontal="right"/>
    </xf>
    <xf numFmtId="3" fontId="20" fillId="0" borderId="4" xfId="7" applyNumberFormat="1" applyFont="1" applyBorder="1"/>
    <xf numFmtId="174" fontId="20" fillId="0" borderId="0" xfId="0" applyNumberFormat="1" applyFont="1"/>
    <xf numFmtId="3" fontId="20" fillId="0" borderId="0" xfId="0" applyNumberFormat="1" applyFont="1"/>
    <xf numFmtId="4" fontId="20" fillId="0" borderId="4" xfId="7" applyNumberFormat="1" applyFont="1" applyBorder="1"/>
    <xf numFmtId="4" fontId="20" fillId="0" borderId="4" xfId="0" applyNumberFormat="1" applyFont="1" applyBorder="1"/>
    <xf numFmtId="0" fontId="20" fillId="0" borderId="5" xfId="0" applyFont="1" applyBorder="1" applyAlignment="1">
      <alignment horizontal="right"/>
    </xf>
    <xf numFmtId="3" fontId="22" fillId="0" borderId="6" xfId="7" applyNumberFormat="1" applyFont="1" applyBorder="1" applyAlignment="1">
      <alignment horizontal="right"/>
    </xf>
    <xf numFmtId="3" fontId="22" fillId="0" borderId="7" xfId="7" applyNumberFormat="1" applyFont="1" applyBorder="1"/>
    <xf numFmtId="0" fontId="20" fillId="0" borderId="1" xfId="0" applyFont="1" applyBorder="1" applyAlignment="1">
      <alignment horizontal="right"/>
    </xf>
    <xf numFmtId="3" fontId="23" fillId="0" borderId="0" xfId="7" applyNumberFormat="1" applyFont="1" applyBorder="1" applyAlignment="1">
      <alignment horizontal="right"/>
    </xf>
    <xf numFmtId="3" fontId="23" fillId="0" borderId="1" xfId="7" applyNumberFormat="1" applyFont="1" applyBorder="1"/>
    <xf numFmtId="0" fontId="24" fillId="0" borderId="0" xfId="0" applyFont="1"/>
    <xf numFmtId="3" fontId="23" fillId="0" borderId="0" xfId="7" applyNumberFormat="1" applyFont="1" applyBorder="1"/>
    <xf numFmtId="0" fontId="20" fillId="0" borderId="93" xfId="0" applyFont="1" applyBorder="1" applyAlignment="1">
      <alignment horizontal="right"/>
    </xf>
    <xf numFmtId="3" fontId="23" fillId="0" borderId="93" xfId="7" applyNumberFormat="1" applyFont="1" applyBorder="1"/>
    <xf numFmtId="0" fontId="21" fillId="2" borderId="33" xfId="0" applyFont="1" applyFill="1" applyBorder="1" applyAlignment="1">
      <alignment horizontal="center"/>
    </xf>
    <xf numFmtId="0" fontId="21" fillId="2" borderId="34" xfId="0" applyFont="1" applyFill="1" applyBorder="1" applyAlignment="1">
      <alignment horizontal="center"/>
    </xf>
    <xf numFmtId="0" fontId="21" fillId="2" borderId="35" xfId="0" applyFont="1" applyFill="1" applyBorder="1" applyAlignment="1">
      <alignment horizontal="center"/>
    </xf>
    <xf numFmtId="175" fontId="20" fillId="0" borderId="9" xfId="0" applyNumberFormat="1" applyFont="1" applyBorder="1"/>
    <xf numFmtId="0" fontId="20" fillId="0" borderId="8" xfId="0" applyFont="1" applyBorder="1"/>
    <xf numFmtId="49" fontId="20" fillId="0" borderId="8" xfId="0" applyNumberFormat="1" applyFont="1" applyBorder="1" applyAlignment="1">
      <alignment horizontal="right"/>
    </xf>
    <xf numFmtId="3" fontId="20" fillId="0" borderId="10" xfId="0" applyNumberFormat="1" applyFont="1" applyBorder="1"/>
    <xf numFmtId="175" fontId="20" fillId="0" borderId="2" xfId="0" applyNumberFormat="1" applyFont="1" applyBorder="1"/>
    <xf numFmtId="0" fontId="20" fillId="0" borderId="3" xfId="0" applyFont="1" applyBorder="1"/>
    <xf numFmtId="49" fontId="20" fillId="0" borderId="3" xfId="0" applyNumberFormat="1" applyFont="1" applyBorder="1" applyAlignment="1">
      <alignment horizontal="right"/>
    </xf>
    <xf numFmtId="3" fontId="20" fillId="0" borderId="4" xfId="0" applyNumberFormat="1" applyFont="1" applyBorder="1"/>
    <xf numFmtId="49" fontId="20" fillId="0" borderId="0" xfId="0" applyNumberFormat="1" applyFont="1" applyAlignment="1">
      <alignment horizontal="right"/>
    </xf>
    <xf numFmtId="175" fontId="20" fillId="3" borderId="2" xfId="0" applyNumberFormat="1" applyFont="1" applyFill="1" applyBorder="1"/>
    <xf numFmtId="0" fontId="20" fillId="3" borderId="3" xfId="0" applyFont="1" applyFill="1" applyBorder="1"/>
    <xf numFmtId="49" fontId="20" fillId="3" borderId="3" xfId="0" applyNumberFormat="1" applyFont="1" applyFill="1" applyBorder="1" applyAlignment="1">
      <alignment horizontal="right"/>
    </xf>
    <xf numFmtId="3" fontId="20" fillId="3" borderId="4" xfId="0" applyNumberFormat="1" applyFont="1" applyFill="1" applyBorder="1"/>
    <xf numFmtId="14" fontId="20" fillId="3" borderId="2" xfId="0" applyNumberFormat="1" applyFont="1" applyFill="1" applyBorder="1"/>
    <xf numFmtId="49" fontId="20" fillId="3" borderId="3" xfId="0" quotePrefix="1" applyNumberFormat="1" applyFont="1" applyFill="1" applyBorder="1" applyAlignment="1">
      <alignment horizontal="right"/>
    </xf>
    <xf numFmtId="14" fontId="20" fillId="7" borderId="2" xfId="0" applyNumberFormat="1" applyFont="1" applyFill="1" applyBorder="1"/>
    <xf numFmtId="0" fontId="20" fillId="7" borderId="3" xfId="0" applyFont="1" applyFill="1" applyBorder="1"/>
    <xf numFmtId="0" fontId="21" fillId="7" borderId="3" xfId="0" applyFont="1" applyFill="1" applyBorder="1" applyAlignment="1">
      <alignment horizontal="right"/>
    </xf>
    <xf numFmtId="3" fontId="21" fillId="7" borderId="4" xfId="0" applyNumberFormat="1" applyFont="1" applyFill="1" applyBorder="1"/>
    <xf numFmtId="14" fontId="20" fillId="0" borderId="5" xfId="0" applyNumberFormat="1" applyFont="1" applyBorder="1"/>
    <xf numFmtId="0" fontId="20" fillId="0" borderId="6" xfId="0" applyFont="1" applyBorder="1"/>
    <xf numFmtId="0" fontId="20" fillId="0" borderId="6" xfId="0" applyFont="1" applyBorder="1" applyAlignment="1">
      <alignment horizontal="right"/>
    </xf>
    <xf numFmtId="3" fontId="20" fillId="0" borderId="7" xfId="0" applyNumberFormat="1" applyFont="1" applyBorder="1"/>
    <xf numFmtId="0" fontId="26" fillId="0" borderId="0" xfId="0" applyFont="1"/>
    <xf numFmtId="0" fontId="26" fillId="0" borderId="0" xfId="0" applyFont="1" applyAlignment="1">
      <alignment horizontal="center"/>
    </xf>
    <xf numFmtId="0" fontId="27" fillId="2" borderId="23" xfId="0" applyFont="1" applyFill="1" applyBorder="1" applyAlignment="1">
      <alignment horizontal="center"/>
    </xf>
    <xf numFmtId="0" fontId="27" fillId="2" borderId="36" xfId="0" applyFont="1" applyFill="1" applyBorder="1" applyAlignment="1">
      <alignment horizontal="center"/>
    </xf>
    <xf numFmtId="0" fontId="27" fillId="2" borderId="37" xfId="0" applyFont="1" applyFill="1" applyBorder="1" applyAlignment="1">
      <alignment horizontal="center"/>
    </xf>
    <xf numFmtId="0" fontId="27" fillId="2" borderId="24" xfId="0" applyFont="1" applyFill="1" applyBorder="1"/>
    <xf numFmtId="0" fontId="26" fillId="0" borderId="38" xfId="0" applyFont="1" applyBorder="1"/>
    <xf numFmtId="0" fontId="28" fillId="0" borderId="39" xfId="0" applyFont="1" applyBorder="1"/>
    <xf numFmtId="0" fontId="26" fillId="0" borderId="39" xfId="0" applyFont="1" applyBorder="1"/>
    <xf numFmtId="0" fontId="26" fillId="0" borderId="40" xfId="0" applyFont="1" applyBorder="1"/>
    <xf numFmtId="0" fontId="26" fillId="0" borderId="41" xfId="0" applyFont="1" applyBorder="1"/>
    <xf numFmtId="0" fontId="26" fillId="0" borderId="47" xfId="0" applyFont="1" applyBorder="1" applyAlignment="1">
      <alignment horizontal="center"/>
    </xf>
    <xf numFmtId="0" fontId="26" fillId="0" borderId="40" xfId="0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26" fillId="0" borderId="42" xfId="0" applyFont="1" applyBorder="1"/>
    <xf numFmtId="0" fontId="26" fillId="0" borderId="2" xfId="0" applyFont="1" applyBorder="1"/>
    <xf numFmtId="0" fontId="26" fillId="0" borderId="3" xfId="0" applyFont="1" applyBorder="1" applyAlignment="1">
      <alignment horizontal="left" wrapText="1"/>
    </xf>
    <xf numFmtId="0" fontId="26" fillId="0" borderId="3" xfId="0" applyFont="1" applyBorder="1" applyAlignment="1">
      <alignment horizontal="center" wrapText="1"/>
    </xf>
    <xf numFmtId="164" fontId="26" fillId="0" borderId="3" xfId="0" applyNumberFormat="1" applyFont="1" applyBorder="1" applyAlignment="1">
      <alignment horizontal="center" wrapText="1"/>
    </xf>
    <xf numFmtId="0" fontId="26" fillId="0" borderId="3" xfId="0" applyFont="1" applyBorder="1"/>
    <xf numFmtId="3" fontId="26" fillId="0" borderId="43" xfId="0" applyNumberFormat="1" applyFont="1" applyBorder="1"/>
    <xf numFmtId="3" fontId="26" fillId="0" borderId="44" xfId="0" applyNumberFormat="1" applyFont="1" applyBorder="1" applyAlignment="1">
      <alignment horizontal="center" wrapText="1"/>
    </xf>
    <xf numFmtId="3" fontId="26" fillId="0" borderId="48" xfId="0" applyNumberFormat="1" applyFont="1" applyBorder="1" applyAlignment="1">
      <alignment horizontal="center"/>
    </xf>
    <xf numFmtId="3" fontId="26" fillId="0" borderId="43" xfId="0" applyNumberFormat="1" applyFont="1" applyBorder="1" applyAlignment="1">
      <alignment horizontal="center"/>
    </xf>
    <xf numFmtId="3" fontId="26" fillId="0" borderId="44" xfId="0" applyNumberFormat="1" applyFont="1" applyBorder="1"/>
    <xf numFmtId="3" fontId="26" fillId="0" borderId="3" xfId="0" applyNumberFormat="1" applyFont="1" applyBorder="1" applyAlignment="1">
      <alignment horizontal="center"/>
    </xf>
    <xf numFmtId="0" fontId="26" fillId="0" borderId="4" xfId="0" applyFont="1" applyBorder="1"/>
    <xf numFmtId="0" fontId="29" fillId="3" borderId="2" xfId="0" applyFont="1" applyFill="1" applyBorder="1"/>
    <xf numFmtId="0" fontId="27" fillId="3" borderId="3" xfId="0" applyFont="1" applyFill="1" applyBorder="1" applyAlignment="1">
      <alignment horizontal="center"/>
    </xf>
    <xf numFmtId="0" fontId="29" fillId="3" borderId="3" xfId="0" applyFont="1" applyFill="1" applyBorder="1"/>
    <xf numFmtId="3" fontId="29" fillId="3" borderId="43" xfId="0" applyNumberFormat="1" applyFont="1" applyFill="1" applyBorder="1"/>
    <xf numFmtId="3" fontId="29" fillId="3" borderId="44" xfId="0" applyNumberFormat="1" applyFont="1" applyFill="1" applyBorder="1"/>
    <xf numFmtId="3" fontId="27" fillId="3" borderId="43" xfId="0" applyNumberFormat="1" applyFont="1" applyFill="1" applyBorder="1"/>
    <xf numFmtId="3" fontId="29" fillId="3" borderId="48" xfId="0" applyNumberFormat="1" applyFont="1" applyFill="1" applyBorder="1" applyAlignment="1">
      <alignment horizontal="center"/>
    </xf>
    <xf numFmtId="3" fontId="27" fillId="3" borderId="3" xfId="0" applyNumberFormat="1" applyFont="1" applyFill="1" applyBorder="1" applyAlignment="1">
      <alignment horizontal="center"/>
    </xf>
    <xf numFmtId="0" fontId="29" fillId="3" borderId="4" xfId="0" applyFont="1" applyFill="1" applyBorder="1"/>
    <xf numFmtId="0" fontId="29" fillId="0" borderId="0" xfId="0" applyFont="1"/>
    <xf numFmtId="0" fontId="28" fillId="0" borderId="3" xfId="0" applyFont="1" applyBorder="1"/>
    <xf numFmtId="0" fontId="26" fillId="0" borderId="3" xfId="0" applyFont="1" applyBorder="1" applyAlignment="1">
      <alignment wrapText="1"/>
    </xf>
    <xf numFmtId="3" fontId="26" fillId="0" borderId="3" xfId="0" applyNumberFormat="1" applyFont="1" applyBorder="1" applyAlignment="1">
      <alignment wrapText="1"/>
    </xf>
    <xf numFmtId="171" fontId="26" fillId="0" borderId="3" xfId="0" applyNumberFormat="1" applyFont="1" applyBorder="1" applyAlignment="1">
      <alignment horizontal="center" wrapText="1"/>
    </xf>
    <xf numFmtId="3" fontId="29" fillId="3" borderId="44" xfId="0" applyNumberFormat="1" applyFont="1" applyFill="1" applyBorder="1" applyAlignment="1">
      <alignment horizontal="center" wrapText="1"/>
    </xf>
    <xf numFmtId="0" fontId="26" fillId="0" borderId="3" xfId="0" applyFont="1" applyBorder="1" applyAlignment="1">
      <alignment horizontal="justify" vertical="top" wrapText="1"/>
    </xf>
    <xf numFmtId="0" fontId="26" fillId="0" borderId="3" xfId="0" applyFont="1" applyBorder="1" applyAlignment="1">
      <alignment horizontal="center" vertical="top" wrapText="1"/>
    </xf>
    <xf numFmtId="3" fontId="26" fillId="0" borderId="44" xfId="0" applyNumberFormat="1" applyFont="1" applyBorder="1" applyAlignment="1">
      <alignment horizontal="center" vertical="top" wrapText="1"/>
    </xf>
    <xf numFmtId="3" fontId="26" fillId="0" borderId="3" xfId="0" applyNumberFormat="1" applyFont="1" applyBorder="1" applyAlignment="1">
      <alignment horizontal="center" vertical="top" wrapText="1"/>
    </xf>
    <xf numFmtId="0" fontId="29" fillId="3" borderId="3" xfId="0" applyFont="1" applyFill="1" applyBorder="1" applyAlignment="1">
      <alignment horizontal="center" vertical="top" wrapText="1"/>
    </xf>
    <xf numFmtId="3" fontId="29" fillId="3" borderId="44" xfId="0" applyNumberFormat="1" applyFont="1" applyFill="1" applyBorder="1" applyAlignment="1">
      <alignment horizontal="center" vertical="top" wrapText="1"/>
    </xf>
    <xf numFmtId="0" fontId="29" fillId="0" borderId="2" xfId="0" applyFont="1" applyBorder="1"/>
    <xf numFmtId="0" fontId="29" fillId="0" borderId="3" xfId="0" applyFont="1" applyBorder="1"/>
    <xf numFmtId="3" fontId="29" fillId="0" borderId="43" xfId="0" applyNumberFormat="1" applyFont="1" applyBorder="1"/>
    <xf numFmtId="3" fontId="29" fillId="0" borderId="44" xfId="0" applyNumberFormat="1" applyFont="1" applyBorder="1"/>
    <xf numFmtId="3" fontId="29" fillId="0" borderId="48" xfId="0" applyNumberFormat="1" applyFont="1" applyBorder="1" applyAlignment="1">
      <alignment horizontal="center"/>
    </xf>
    <xf numFmtId="0" fontId="29" fillId="0" borderId="4" xfId="0" applyFont="1" applyBorder="1"/>
    <xf numFmtId="0" fontId="26" fillId="0" borderId="5" xfId="0" applyFont="1" applyBorder="1"/>
    <xf numFmtId="0" fontId="26" fillId="0" borderId="6" xfId="0" applyFont="1" applyBorder="1"/>
    <xf numFmtId="0" fontId="26" fillId="0" borderId="45" xfId="0" applyFont="1" applyBorder="1"/>
    <xf numFmtId="0" fontId="26" fillId="0" borderId="46" xfId="0" applyFont="1" applyBorder="1"/>
    <xf numFmtId="0" fontId="26" fillId="0" borderId="49" xfId="0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7" xfId="0" applyFont="1" applyBorder="1"/>
    <xf numFmtId="0" fontId="13" fillId="0" borderId="25" xfId="0" applyFont="1" applyBorder="1"/>
    <xf numFmtId="0" fontId="13" fillId="0" borderId="11" xfId="0" applyFont="1" applyBorder="1"/>
    <xf numFmtId="3" fontId="13" fillId="0" borderId="11" xfId="0" quotePrefix="1" applyNumberFormat="1" applyFont="1" applyBorder="1"/>
    <xf numFmtId="3" fontId="13" fillId="0" borderId="11" xfId="0" applyNumberFormat="1" applyFont="1" applyBorder="1"/>
    <xf numFmtId="3" fontId="13" fillId="0" borderId="12" xfId="0" applyNumberFormat="1" applyFont="1" applyBorder="1"/>
    <xf numFmtId="0" fontId="30" fillId="0" borderId="11" xfId="0" applyFont="1" applyBorder="1" applyAlignment="1">
      <alignment horizontal="center"/>
    </xf>
    <xf numFmtId="3" fontId="30" fillId="0" borderId="11" xfId="0" applyNumberFormat="1" applyFont="1" applyBorder="1"/>
    <xf numFmtId="3" fontId="30" fillId="0" borderId="11" xfId="0" quotePrefix="1" applyNumberFormat="1" applyFont="1" applyBorder="1"/>
    <xf numFmtId="3" fontId="30" fillId="0" borderId="12" xfId="0" applyNumberFormat="1" applyFont="1" applyBorder="1"/>
    <xf numFmtId="0" fontId="31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32" fillId="0" borderId="0" xfId="0" applyFont="1"/>
    <xf numFmtId="0" fontId="33" fillId="0" borderId="0" xfId="0" applyFont="1" applyAlignment="1">
      <alignment vertical="center"/>
    </xf>
    <xf numFmtId="0" fontId="30" fillId="6" borderId="25" xfId="0" applyFont="1" applyFill="1" applyBorder="1" applyAlignment="1">
      <alignment horizontal="center" vertical="center" wrapText="1"/>
    </xf>
    <xf numFmtId="0" fontId="30" fillId="6" borderId="11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34" fillId="4" borderId="25" xfId="0" applyFont="1" applyFill="1" applyBorder="1" applyAlignment="1">
      <alignment vertical="center"/>
    </xf>
    <xf numFmtId="0" fontId="34" fillId="4" borderId="11" xfId="0" applyFont="1" applyFill="1" applyBorder="1" applyAlignment="1">
      <alignment vertical="center"/>
    </xf>
    <xf numFmtId="4" fontId="30" fillId="4" borderId="11" xfId="0" applyNumberFormat="1" applyFont="1" applyFill="1" applyBorder="1" applyAlignment="1">
      <alignment vertical="center"/>
    </xf>
    <xf numFmtId="4" fontId="30" fillId="4" borderId="11" xfId="0" quotePrefix="1" applyNumberFormat="1" applyFont="1" applyFill="1" applyBorder="1" applyAlignment="1">
      <alignment vertical="center"/>
    </xf>
    <xf numFmtId="3" fontId="30" fillId="4" borderId="11" xfId="0" applyNumberFormat="1" applyFont="1" applyFill="1" applyBorder="1" applyAlignment="1">
      <alignment vertical="center"/>
    </xf>
    <xf numFmtId="4" fontId="34" fillId="4" borderId="12" xfId="0" applyNumberFormat="1" applyFont="1" applyFill="1" applyBorder="1" applyAlignment="1">
      <alignment vertical="center"/>
    </xf>
    <xf numFmtId="0" fontId="34" fillId="5" borderId="25" xfId="0" applyFont="1" applyFill="1" applyBorder="1" applyAlignment="1">
      <alignment vertical="center"/>
    </xf>
    <xf numFmtId="0" fontId="34" fillId="5" borderId="11" xfId="0" applyFont="1" applyFill="1" applyBorder="1" applyAlignment="1">
      <alignment vertical="center"/>
    </xf>
    <xf numFmtId="4" fontId="35" fillId="0" borderId="11" xfId="0" applyNumberFormat="1" applyFont="1" applyBorder="1" applyAlignment="1">
      <alignment vertical="center"/>
    </xf>
    <xf numFmtId="4" fontId="34" fillId="5" borderId="11" xfId="0" applyNumberFormat="1" applyFont="1" applyFill="1" applyBorder="1" applyAlignment="1">
      <alignment vertical="center"/>
    </xf>
    <xf numFmtId="3" fontId="34" fillId="5" borderId="11" xfId="0" applyNumberFormat="1" applyFont="1" applyFill="1" applyBorder="1" applyAlignment="1">
      <alignment vertical="center"/>
    </xf>
    <xf numFmtId="4" fontId="34" fillId="5" borderId="12" xfId="0" applyNumberFormat="1" applyFont="1" applyFill="1" applyBorder="1" applyAlignment="1">
      <alignment vertical="center"/>
    </xf>
    <xf numFmtId="0" fontId="13" fillId="5" borderId="0" xfId="0" applyFont="1" applyFill="1"/>
    <xf numFmtId="0" fontId="13" fillId="0" borderId="25" xfId="0" applyFont="1" applyBorder="1" applyAlignment="1">
      <alignment horizontal="center" vertical="center"/>
    </xf>
    <xf numFmtId="0" fontId="13" fillId="0" borderId="11" xfId="0" quotePrefix="1" applyFont="1" applyBorder="1" applyAlignment="1">
      <alignment horizontal="center" vertical="center"/>
    </xf>
    <xf numFmtId="3" fontId="13" fillId="0" borderId="11" xfId="0" applyNumberFormat="1" applyFont="1" applyBorder="1" applyAlignment="1">
      <alignment vertical="center"/>
    </xf>
    <xf numFmtId="4" fontId="13" fillId="0" borderId="11" xfId="0" quotePrefix="1" applyNumberFormat="1" applyFont="1" applyBorder="1" applyAlignment="1">
      <alignment vertical="center"/>
    </xf>
    <xf numFmtId="3" fontId="13" fillId="0" borderId="11" xfId="0" quotePrefix="1" applyNumberFormat="1" applyFont="1" applyBorder="1" applyAlignment="1">
      <alignment vertical="center"/>
    </xf>
    <xf numFmtId="4" fontId="13" fillId="0" borderId="12" xfId="0" applyNumberFormat="1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" fontId="13" fillId="0" borderId="11" xfId="0" applyNumberFormat="1" applyFont="1" applyBorder="1" applyAlignment="1">
      <alignment vertical="center"/>
    </xf>
    <xf numFmtId="3" fontId="30" fillId="4" borderId="11" xfId="0" quotePrefix="1" applyNumberFormat="1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30" fillId="4" borderId="11" xfId="0" applyFont="1" applyFill="1" applyBorder="1" applyAlignment="1">
      <alignment vertical="center"/>
    </xf>
    <xf numFmtId="0" fontId="34" fillId="4" borderId="12" xfId="0" applyFont="1" applyFill="1" applyBorder="1" applyAlignment="1">
      <alignment vertical="center"/>
    </xf>
    <xf numFmtId="0" fontId="35" fillId="0" borderId="11" xfId="0" applyFont="1" applyBorder="1" applyAlignment="1">
      <alignment vertical="center"/>
    </xf>
    <xf numFmtId="4" fontId="36" fillId="5" borderId="11" xfId="0" quotePrefix="1" applyNumberFormat="1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172" fontId="30" fillId="4" borderId="11" xfId="0" quotePrefix="1" applyNumberFormat="1" applyFont="1" applyFill="1" applyBorder="1" applyAlignment="1">
      <alignment vertical="center"/>
    </xf>
    <xf numFmtId="3" fontId="30" fillId="4" borderId="11" xfId="0" applyNumberFormat="1" applyFont="1" applyFill="1" applyBorder="1" applyAlignment="1">
      <alignment horizontal="left" vertical="center" indent="2"/>
    </xf>
    <xf numFmtId="0" fontId="36" fillId="5" borderId="25" xfId="0" applyFont="1" applyFill="1" applyBorder="1" applyAlignment="1">
      <alignment horizontal="center" vertical="center"/>
    </xf>
    <xf numFmtId="0" fontId="37" fillId="5" borderId="11" xfId="0" applyFont="1" applyFill="1" applyBorder="1" applyAlignment="1">
      <alignment vertical="center"/>
    </xf>
    <xf numFmtId="0" fontId="36" fillId="5" borderId="11" xfId="0" applyFont="1" applyFill="1" applyBorder="1" applyAlignment="1">
      <alignment vertical="center"/>
    </xf>
    <xf numFmtId="172" fontId="36" fillId="5" borderId="11" xfId="0" quotePrefix="1" applyNumberFormat="1" applyFont="1" applyFill="1" applyBorder="1" applyAlignment="1">
      <alignment vertical="center"/>
    </xf>
    <xf numFmtId="3" fontId="36" fillId="5" borderId="11" xfId="0" applyNumberFormat="1" applyFont="1" applyFill="1" applyBorder="1" applyAlignment="1">
      <alignment vertical="center"/>
    </xf>
    <xf numFmtId="3" fontId="36" fillId="5" borderId="11" xfId="0" quotePrefix="1" applyNumberFormat="1" applyFont="1" applyFill="1" applyBorder="1" applyAlignment="1">
      <alignment vertical="center"/>
    </xf>
    <xf numFmtId="0" fontId="36" fillId="5" borderId="12" xfId="0" applyFont="1" applyFill="1" applyBorder="1" applyAlignment="1">
      <alignment vertical="center"/>
    </xf>
    <xf numFmtId="16" fontId="13" fillId="0" borderId="11" xfId="0" quotePrefix="1" applyNumberFormat="1" applyFont="1" applyBorder="1" applyAlignment="1">
      <alignment horizontal="center" vertical="center"/>
    </xf>
    <xf numFmtId="172" fontId="13" fillId="0" borderId="11" xfId="0" quotePrefix="1" applyNumberFormat="1" applyFont="1" applyBorder="1" applyAlignment="1">
      <alignment vertical="center"/>
    </xf>
    <xf numFmtId="0" fontId="30" fillId="6" borderId="12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justify" vertical="center" wrapText="1"/>
    </xf>
    <xf numFmtId="0" fontId="13" fillId="0" borderId="11" xfId="0" applyFont="1" applyBorder="1" applyAlignment="1">
      <alignment horizontal="center" vertical="center" wrapText="1"/>
    </xf>
    <xf numFmtId="3" fontId="13" fillId="0" borderId="11" xfId="0" applyNumberFormat="1" applyFont="1" applyBorder="1" applyAlignment="1">
      <alignment horizontal="right" vertical="center" wrapText="1"/>
    </xf>
    <xf numFmtId="3" fontId="13" fillId="0" borderId="12" xfId="0" applyNumberFormat="1" applyFont="1" applyBorder="1" applyAlignment="1">
      <alignment horizontal="right" vertical="center" wrapText="1"/>
    </xf>
    <xf numFmtId="0" fontId="14" fillId="0" borderId="25" xfId="0" applyFont="1" applyBorder="1" applyAlignment="1">
      <alignment horizontal="justify" vertical="center" wrapText="1"/>
    </xf>
    <xf numFmtId="0" fontId="14" fillId="0" borderId="11" xfId="0" applyFont="1" applyBorder="1" applyAlignment="1">
      <alignment horizontal="justify" vertical="center" wrapText="1"/>
    </xf>
    <xf numFmtId="3" fontId="30" fillId="0" borderId="11" xfId="0" applyNumberFormat="1" applyFont="1" applyBorder="1" applyAlignment="1">
      <alignment horizontal="right" vertical="center" wrapText="1"/>
    </xf>
    <xf numFmtId="3" fontId="30" fillId="0" borderId="12" xfId="0" applyNumberFormat="1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1" xfId="0" applyFont="1" applyBorder="1" applyAlignment="1">
      <alignment vertical="center" wrapText="1"/>
    </xf>
    <xf numFmtId="3" fontId="30" fillId="0" borderId="11" xfId="0" applyNumberFormat="1" applyFont="1" applyBorder="1" applyAlignment="1">
      <alignment vertical="center" wrapText="1"/>
    </xf>
    <xf numFmtId="3" fontId="30" fillId="0" borderId="12" xfId="0" applyNumberFormat="1" applyFont="1" applyBorder="1" applyAlignment="1">
      <alignment vertical="center" wrapText="1"/>
    </xf>
    <xf numFmtId="0" fontId="13" fillId="0" borderId="11" xfId="0" applyFont="1" applyBorder="1" applyAlignment="1">
      <alignment horizontal="left" vertical="center" wrapText="1" indent="1"/>
    </xf>
    <xf numFmtId="3" fontId="13" fillId="0" borderId="11" xfId="0" applyNumberFormat="1" applyFont="1" applyBorder="1" applyAlignment="1">
      <alignment vertical="center" wrapText="1"/>
    </xf>
    <xf numFmtId="3" fontId="13" fillId="0" borderId="12" xfId="0" applyNumberFormat="1" applyFont="1" applyBorder="1" applyAlignment="1">
      <alignment horizontal="right" vertical="center"/>
    </xf>
    <xf numFmtId="0" fontId="13" fillId="0" borderId="12" xfId="0" applyFont="1" applyBorder="1"/>
    <xf numFmtId="0" fontId="13" fillId="0" borderId="11" xfId="0" applyFont="1" applyBorder="1" applyAlignment="1">
      <alignment vertical="top" wrapText="1"/>
    </xf>
    <xf numFmtId="3" fontId="14" fillId="0" borderId="11" xfId="0" applyNumberFormat="1" applyFont="1" applyBorder="1" applyAlignment="1">
      <alignment vertical="center" wrapText="1"/>
    </xf>
    <xf numFmtId="3" fontId="14" fillId="0" borderId="12" xfId="0" applyNumberFormat="1" applyFont="1" applyBorder="1" applyAlignment="1">
      <alignment vertical="center" wrapText="1"/>
    </xf>
    <xf numFmtId="0" fontId="15" fillId="2" borderId="11" xfId="0" applyFont="1" applyFill="1" applyBorder="1" applyAlignment="1">
      <alignment horizontal="center" wrapText="1"/>
    </xf>
    <xf numFmtId="0" fontId="40" fillId="0" borderId="25" xfId="0" applyFont="1" applyBorder="1" applyAlignment="1">
      <alignment horizontal="center" wrapText="1"/>
    </xf>
    <xf numFmtId="0" fontId="40" fillId="0" borderId="11" xfId="0" applyFont="1" applyBorder="1" applyAlignment="1">
      <alignment horizontal="center" wrapText="1"/>
    </xf>
    <xf numFmtId="0" fontId="40" fillId="0" borderId="12" xfId="0" applyFont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13" fillId="0" borderId="9" xfId="0" applyFont="1" applyBorder="1" applyAlignment="1">
      <alignment horizontal="center" vertical="top" wrapText="1"/>
    </xf>
    <xf numFmtId="0" fontId="13" fillId="0" borderId="8" xfId="0" applyFont="1" applyBorder="1" applyAlignment="1">
      <alignment vertical="top"/>
    </xf>
    <xf numFmtId="0" fontId="13" fillId="0" borderId="8" xfId="0" applyFont="1" applyBorder="1" applyAlignment="1">
      <alignment vertical="top" wrapText="1"/>
    </xf>
    <xf numFmtId="3" fontId="41" fillId="0" borderId="8" xfId="0" applyNumberFormat="1" applyFont="1" applyBorder="1" applyAlignment="1">
      <alignment vertical="top" wrapText="1"/>
    </xf>
    <xf numFmtId="3" fontId="15" fillId="0" borderId="8" xfId="0" applyNumberFormat="1" applyFont="1" applyBorder="1" applyAlignment="1">
      <alignment horizontal="right" vertical="top" wrapText="1"/>
    </xf>
    <xf numFmtId="3" fontId="15" fillId="0" borderId="15" xfId="0" applyNumberFormat="1" applyFont="1" applyBorder="1" applyAlignment="1">
      <alignment horizontal="righ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3" fontId="15" fillId="0" borderId="3" xfId="0" applyNumberFormat="1" applyFont="1" applyBorder="1" applyAlignment="1">
      <alignment vertical="top" wrapText="1"/>
    </xf>
    <xf numFmtId="3" fontId="15" fillId="0" borderId="4" xfId="0" applyNumberFormat="1" applyFont="1" applyBorder="1" applyAlignment="1">
      <alignment vertical="top" wrapText="1"/>
    </xf>
    <xf numFmtId="0" fontId="13" fillId="0" borderId="3" xfId="0" quotePrefix="1" applyFont="1" applyBorder="1" applyAlignment="1">
      <alignment vertical="top"/>
    </xf>
    <xf numFmtId="0" fontId="13" fillId="0" borderId="3" xfId="0" applyFont="1" applyBorder="1" applyAlignment="1">
      <alignment horizontal="center" vertical="top" wrapText="1"/>
    </xf>
    <xf numFmtId="3" fontId="13" fillId="0" borderId="3" xfId="0" applyNumberFormat="1" applyFont="1" applyBorder="1" applyAlignment="1">
      <alignment vertical="top" wrapText="1"/>
    </xf>
    <xf numFmtId="3" fontId="13" fillId="0" borderId="3" xfId="0" applyNumberFormat="1" applyFont="1" applyBorder="1" applyAlignment="1">
      <alignment horizontal="right" vertical="top" wrapText="1"/>
    </xf>
    <xf numFmtId="3" fontId="13" fillId="0" borderId="4" xfId="0" applyNumberFormat="1" applyFont="1" applyBorder="1" applyAlignment="1">
      <alignment horizontal="right" vertical="top" wrapText="1"/>
    </xf>
    <xf numFmtId="3" fontId="15" fillId="0" borderId="3" xfId="0" applyNumberFormat="1" applyFont="1" applyBorder="1" applyAlignment="1">
      <alignment horizontal="right" vertical="top" wrapText="1"/>
    </xf>
    <xf numFmtId="3" fontId="15" fillId="0" borderId="4" xfId="0" applyNumberFormat="1" applyFont="1" applyBorder="1" applyAlignment="1">
      <alignment horizontal="right" vertical="top" wrapText="1"/>
    </xf>
    <xf numFmtId="0" fontId="14" fillId="0" borderId="5" xfId="0" applyFont="1" applyBorder="1"/>
    <xf numFmtId="0" fontId="13" fillId="0" borderId="77" xfId="0" applyFont="1" applyBorder="1"/>
    <xf numFmtId="0" fontId="13" fillId="0" borderId="78" xfId="0" applyFont="1" applyBorder="1"/>
    <xf numFmtId="0" fontId="13" fillId="0" borderId="79" xfId="0" applyFont="1" applyBorder="1"/>
    <xf numFmtId="0" fontId="13" fillId="0" borderId="71" xfId="0" applyFont="1" applyBorder="1"/>
    <xf numFmtId="0" fontId="13" fillId="0" borderId="72" xfId="0" applyFont="1" applyBorder="1"/>
    <xf numFmtId="3" fontId="15" fillId="0" borderId="72" xfId="0" applyNumberFormat="1" applyFont="1" applyBorder="1"/>
    <xf numFmtId="3" fontId="15" fillId="0" borderId="73" xfId="0" applyNumberFormat="1" applyFont="1" applyBorder="1"/>
    <xf numFmtId="16" fontId="13" fillId="0" borderId="72" xfId="0" quotePrefix="1" applyNumberFormat="1" applyFont="1" applyBorder="1" applyAlignment="1">
      <alignment horizontal="center"/>
    </xf>
    <xf numFmtId="3" fontId="13" fillId="0" borderId="72" xfId="0" applyNumberFormat="1" applyFont="1" applyBorder="1"/>
    <xf numFmtId="0" fontId="13" fillId="0" borderId="73" xfId="0" applyFont="1" applyBorder="1"/>
    <xf numFmtId="3" fontId="13" fillId="0" borderId="73" xfId="0" applyNumberFormat="1" applyFont="1" applyBorder="1"/>
    <xf numFmtId="0" fontId="30" fillId="0" borderId="72" xfId="0" applyFont="1" applyBorder="1" applyAlignment="1">
      <alignment horizontal="center"/>
    </xf>
    <xf numFmtId="0" fontId="13" fillId="0" borderId="74" xfId="0" applyFont="1" applyBorder="1"/>
    <xf numFmtId="0" fontId="13" fillId="0" borderId="75" xfId="0" applyFont="1" applyBorder="1"/>
    <xf numFmtId="0" fontId="13" fillId="0" borderId="76" xfId="0" applyFont="1" applyBorder="1"/>
    <xf numFmtId="3" fontId="15" fillId="0" borderId="14" xfId="0" applyNumberFormat="1" applyFont="1" applyBorder="1"/>
    <xf numFmtId="3" fontId="15" fillId="0" borderId="20" xfId="0" applyNumberFormat="1" applyFont="1" applyBorder="1"/>
    <xf numFmtId="172" fontId="15" fillId="0" borderId="15" xfId="0" applyNumberFormat="1" applyFont="1" applyBorder="1"/>
    <xf numFmtId="172" fontId="13" fillId="0" borderId="0" xfId="0" applyNumberFormat="1" applyFont="1"/>
    <xf numFmtId="4" fontId="15" fillId="2" borderId="26" xfId="0" applyNumberFormat="1" applyFont="1" applyFill="1" applyBorder="1" applyAlignment="1">
      <alignment horizontal="center" vertical="center" wrapText="1"/>
    </xf>
    <xf numFmtId="4" fontId="15" fillId="2" borderId="27" xfId="0" applyNumberFormat="1" applyFont="1" applyFill="1" applyBorder="1" applyAlignment="1">
      <alignment horizontal="center" vertical="center" wrapText="1"/>
    </xf>
    <xf numFmtId="4" fontId="15" fillId="2" borderId="2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" fontId="13" fillId="0" borderId="13" xfId="0" applyNumberFormat="1" applyFont="1" applyBorder="1"/>
    <xf numFmtId="172" fontId="13" fillId="0" borderId="14" xfId="0" applyNumberFormat="1" applyFont="1" applyBorder="1"/>
    <xf numFmtId="172" fontId="13" fillId="0" borderId="3" xfId="0" applyNumberFormat="1" applyFont="1" applyBorder="1"/>
    <xf numFmtId="172" fontId="13" fillId="0" borderId="94" xfId="0" applyNumberFormat="1" applyFont="1" applyBorder="1"/>
    <xf numFmtId="4" fontId="13" fillId="0" borderId="2" xfId="0" applyNumberFormat="1" applyFont="1" applyBorder="1"/>
    <xf numFmtId="172" fontId="13" fillId="0" borderId="85" xfId="0" applyNumberFormat="1" applyFont="1" applyBorder="1"/>
    <xf numFmtId="172" fontId="13" fillId="0" borderId="95" xfId="0" applyNumberFormat="1" applyFont="1" applyBorder="1"/>
    <xf numFmtId="4" fontId="13" fillId="0" borderId="2" xfId="0" applyNumberFormat="1" applyFont="1" applyBorder="1" applyAlignment="1">
      <alignment horizontal="center"/>
    </xf>
    <xf numFmtId="172" fontId="15" fillId="0" borderId="3" xfId="0" applyNumberFormat="1" applyFont="1" applyBorder="1"/>
    <xf numFmtId="172" fontId="15" fillId="0" borderId="4" xfId="0" applyNumberFormat="1" applyFont="1" applyBorder="1"/>
    <xf numFmtId="4" fontId="13" fillId="0" borderId="5" xfId="0" applyNumberFormat="1" applyFont="1" applyBorder="1"/>
    <xf numFmtId="4" fontId="13" fillId="0" borderId="6" xfId="0" applyNumberFormat="1" applyFont="1" applyBorder="1"/>
    <xf numFmtId="4" fontId="13" fillId="0" borderId="7" xfId="0" applyNumberFormat="1" applyFont="1" applyBorder="1"/>
    <xf numFmtId="0" fontId="1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6" borderId="28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vertical="center" wrapText="1"/>
    </xf>
    <xf numFmtId="0" fontId="34" fillId="4" borderId="89" xfId="0" applyFont="1" applyFill="1" applyBorder="1" applyAlignment="1">
      <alignment vertical="center"/>
    </xf>
    <xf numFmtId="0" fontId="34" fillId="4" borderId="90" xfId="0" applyFont="1" applyFill="1" applyBorder="1" applyAlignment="1">
      <alignment vertical="center"/>
    </xf>
    <xf numFmtId="0" fontId="30" fillId="4" borderId="90" xfId="0" applyFont="1" applyFill="1" applyBorder="1" applyAlignment="1">
      <alignment vertical="center"/>
    </xf>
    <xf numFmtId="4" fontId="30" fillId="4" borderId="90" xfId="0" applyNumberFormat="1" applyFont="1" applyFill="1" applyBorder="1" applyAlignment="1">
      <alignment vertical="center"/>
    </xf>
    <xf numFmtId="3" fontId="30" fillId="4" borderId="90" xfId="0" applyNumberFormat="1" applyFont="1" applyFill="1" applyBorder="1" applyAlignment="1">
      <alignment horizontal="left" vertical="center" indent="2"/>
    </xf>
    <xf numFmtId="3" fontId="30" fillId="4" borderId="90" xfId="0" applyNumberFormat="1" applyFont="1" applyFill="1" applyBorder="1" applyAlignment="1">
      <alignment vertical="center"/>
    </xf>
    <xf numFmtId="0" fontId="34" fillId="4" borderId="91" xfId="0" applyFont="1" applyFill="1" applyBorder="1" applyAlignment="1">
      <alignment vertical="center"/>
    </xf>
    <xf numFmtId="0" fontId="14" fillId="5" borderId="83" xfId="0" applyFont="1" applyFill="1" applyBorder="1" applyAlignment="1">
      <alignment vertical="center"/>
    </xf>
    <xf numFmtId="0" fontId="14" fillId="5" borderId="84" xfId="0" applyFont="1" applyFill="1" applyBorder="1" applyAlignment="1">
      <alignment vertical="center"/>
    </xf>
    <xf numFmtId="0" fontId="32" fillId="5" borderId="84" xfId="0" applyFont="1" applyFill="1" applyBorder="1" applyAlignment="1">
      <alignment vertical="center"/>
    </xf>
    <xf numFmtId="4" fontId="14" fillId="5" borderId="84" xfId="0" applyNumberFormat="1" applyFont="1" applyFill="1" applyBorder="1" applyAlignment="1">
      <alignment vertical="center"/>
    </xf>
    <xf numFmtId="0" fontId="14" fillId="5" borderId="85" xfId="0" applyFont="1" applyFill="1" applyBorder="1" applyAlignment="1">
      <alignment vertical="center"/>
    </xf>
    <xf numFmtId="0" fontId="13" fillId="5" borderId="83" xfId="0" applyFont="1" applyFill="1" applyBorder="1" applyAlignment="1">
      <alignment vertical="center"/>
    </xf>
    <xf numFmtId="0" fontId="13" fillId="5" borderId="84" xfId="0" quotePrefix="1" applyFont="1" applyFill="1" applyBorder="1" applyAlignment="1">
      <alignment horizontal="center" vertical="center"/>
    </xf>
    <xf numFmtId="0" fontId="13" fillId="5" borderId="84" xfId="0" applyFont="1" applyFill="1" applyBorder="1" applyAlignment="1">
      <alignment vertical="center"/>
    </xf>
    <xf numFmtId="0" fontId="13" fillId="5" borderId="84" xfId="0" applyFont="1" applyFill="1" applyBorder="1" applyAlignment="1">
      <alignment horizontal="center" vertical="center"/>
    </xf>
    <xf numFmtId="172" fontId="13" fillId="5" borderId="84" xfId="0" applyNumberFormat="1" applyFont="1" applyFill="1" applyBorder="1" applyAlignment="1">
      <alignment vertical="center"/>
    </xf>
    <xf numFmtId="3" fontId="13" fillId="5" borderId="84" xfId="0" applyNumberFormat="1" applyFont="1" applyFill="1" applyBorder="1" applyAlignment="1">
      <alignment vertical="center"/>
    </xf>
    <xf numFmtId="172" fontId="13" fillId="5" borderId="84" xfId="0" quotePrefix="1" applyNumberFormat="1" applyFont="1" applyFill="1" applyBorder="1" applyAlignment="1">
      <alignment vertical="center"/>
    </xf>
    <xf numFmtId="0" fontId="42" fillId="0" borderId="0" xfId="0" applyFont="1"/>
    <xf numFmtId="0" fontId="13" fillId="0" borderId="84" xfId="0" quotePrefix="1" applyFont="1" applyBorder="1" applyAlignment="1">
      <alignment horizontal="center" vertical="center"/>
    </xf>
    <xf numFmtId="172" fontId="13" fillId="0" borderId="84" xfId="0" applyNumberFormat="1" applyFont="1" applyBorder="1" applyAlignment="1">
      <alignment vertical="center"/>
    </xf>
    <xf numFmtId="3" fontId="13" fillId="0" borderId="84" xfId="0" applyNumberFormat="1" applyFont="1" applyBorder="1" applyAlignment="1">
      <alignment vertical="center"/>
    </xf>
    <xf numFmtId="4" fontId="13" fillId="0" borderId="84" xfId="0" applyNumberFormat="1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13" fillId="0" borderId="84" xfId="0" applyFont="1" applyBorder="1" applyAlignment="1">
      <alignment vertical="center"/>
    </xf>
    <xf numFmtId="0" fontId="34" fillId="4" borderId="83" xfId="0" applyFont="1" applyFill="1" applyBorder="1" applyAlignment="1">
      <alignment vertical="center"/>
    </xf>
    <xf numFmtId="0" fontId="34" fillId="4" borderId="84" xfId="0" applyFont="1" applyFill="1" applyBorder="1" applyAlignment="1">
      <alignment vertical="center"/>
    </xf>
    <xf numFmtId="0" fontId="30" fillId="4" borderId="84" xfId="0" applyFont="1" applyFill="1" applyBorder="1" applyAlignment="1">
      <alignment vertical="center"/>
    </xf>
    <xf numFmtId="172" fontId="30" fillId="4" borderId="84" xfId="0" applyNumberFormat="1" applyFont="1" applyFill="1" applyBorder="1" applyAlignment="1">
      <alignment vertical="center"/>
    </xf>
    <xf numFmtId="3" fontId="30" fillId="4" borderId="84" xfId="0" applyNumberFormat="1" applyFont="1" applyFill="1" applyBorder="1" applyAlignment="1">
      <alignment vertical="center"/>
    </xf>
    <xf numFmtId="4" fontId="34" fillId="4" borderId="84" xfId="0" applyNumberFormat="1" applyFont="1" applyFill="1" applyBorder="1" applyAlignment="1">
      <alignment vertical="center"/>
    </xf>
    <xf numFmtId="0" fontId="34" fillId="4" borderId="85" xfId="0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43" fillId="2" borderId="60" xfId="0" applyFont="1" applyFill="1" applyBorder="1" applyAlignment="1">
      <alignment horizontal="center" vertical="center" wrapText="1"/>
    </xf>
    <xf numFmtId="0" fontId="43" fillId="2" borderId="61" xfId="0" applyFont="1" applyFill="1" applyBorder="1" applyAlignment="1">
      <alignment horizontal="center" vertical="center" wrapText="1"/>
    </xf>
    <xf numFmtId="0" fontId="43" fillId="2" borderId="59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center" vertical="top" wrapText="1"/>
    </xf>
    <xf numFmtId="3" fontId="38" fillId="0" borderId="4" xfId="0" applyNumberFormat="1" applyFont="1" applyBorder="1" applyAlignment="1">
      <alignment horizontal="right" vertical="top" wrapText="1"/>
    </xf>
    <xf numFmtId="0" fontId="38" fillId="0" borderId="3" xfId="0" quotePrefix="1" applyFont="1" applyBorder="1" applyAlignment="1">
      <alignment horizontal="center" vertical="top" wrapText="1"/>
    </xf>
    <xf numFmtId="16" fontId="38" fillId="0" borderId="3" xfId="0" quotePrefix="1" applyNumberFormat="1" applyFont="1" applyBorder="1" applyAlignment="1">
      <alignment horizontal="center" vertical="top" wrapText="1"/>
    </xf>
    <xf numFmtId="0" fontId="44" fillId="0" borderId="2" xfId="0" applyFont="1" applyBorder="1"/>
    <xf numFmtId="0" fontId="38" fillId="0" borderId="3" xfId="0" applyFont="1" applyBorder="1" applyAlignment="1">
      <alignment horizontal="center"/>
    </xf>
    <xf numFmtId="0" fontId="38" fillId="0" borderId="3" xfId="0" quotePrefix="1" applyFont="1" applyBorder="1" applyAlignment="1">
      <alignment horizontal="center"/>
    </xf>
    <xf numFmtId="0" fontId="38" fillId="0" borderId="5" xfId="0" applyFont="1" applyBorder="1"/>
    <xf numFmtId="0" fontId="38" fillId="0" borderId="6" xfId="0" applyFont="1" applyBorder="1" applyAlignment="1">
      <alignment horizontal="center"/>
    </xf>
    <xf numFmtId="0" fontId="38" fillId="0" borderId="7" xfId="0" applyFont="1" applyBorder="1"/>
    <xf numFmtId="3" fontId="38" fillId="0" borderId="0" xfId="0" applyNumberFormat="1" applyFont="1"/>
    <xf numFmtId="172" fontId="13" fillId="0" borderId="8" xfId="0" applyNumberFormat="1" applyFont="1" applyBorder="1"/>
    <xf numFmtId="172" fontId="13" fillId="0" borderId="91" xfId="0" applyNumberFormat="1" applyFont="1" applyBorder="1"/>
    <xf numFmtId="4" fontId="13" fillId="0" borderId="9" xfId="0" quotePrefix="1" applyNumberFormat="1" applyFont="1" applyBorder="1"/>
    <xf numFmtId="0" fontId="12" fillId="0" borderId="0" xfId="0" applyFont="1"/>
    <xf numFmtId="0" fontId="15" fillId="2" borderId="97" xfId="0" applyFont="1" applyFill="1" applyBorder="1" applyAlignment="1">
      <alignment horizontal="center" vertical="center" wrapText="1"/>
    </xf>
    <xf numFmtId="0" fontId="15" fillId="2" borderId="100" xfId="0" applyFont="1" applyFill="1" applyBorder="1" applyAlignment="1">
      <alignment horizontal="center" vertical="center" wrapText="1"/>
    </xf>
    <xf numFmtId="0" fontId="13" fillId="0" borderId="14" xfId="0" quotePrefix="1" applyFont="1" applyBorder="1"/>
    <xf numFmtId="3" fontId="26" fillId="0" borderId="3" xfId="0" applyNumberFormat="1" applyFont="1" applyBorder="1"/>
    <xf numFmtId="3" fontId="27" fillId="3" borderId="3" xfId="0" applyNumberFormat="1" applyFont="1" applyFill="1" applyBorder="1"/>
    <xf numFmtId="3" fontId="29" fillId="0" borderId="3" xfId="0" applyNumberFormat="1" applyFont="1" applyBorder="1"/>
    <xf numFmtId="3" fontId="26" fillId="0" borderId="3" xfId="0" applyNumberFormat="1" applyFont="1" applyBorder="1" applyAlignment="1">
      <alignment vertical="top" wrapText="1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2" borderId="51" xfId="0" applyFont="1" applyFill="1" applyBorder="1" applyAlignment="1">
      <alignment horizontal="center"/>
    </xf>
    <xf numFmtId="0" fontId="27" fillId="2" borderId="55" xfId="0" applyFont="1" applyFill="1" applyBorder="1" applyAlignment="1">
      <alignment horizontal="center"/>
    </xf>
    <xf numFmtId="0" fontId="27" fillId="2" borderId="56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/>
    </xf>
    <xf numFmtId="0" fontId="27" fillId="2" borderId="54" xfId="0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 wrapText="1"/>
    </xf>
    <xf numFmtId="0" fontId="27" fillId="2" borderId="54" xfId="0" applyFont="1" applyFill="1" applyBorder="1" applyAlignment="1">
      <alignment horizontal="center" vertical="center" wrapText="1"/>
    </xf>
    <xf numFmtId="0" fontId="27" fillId="2" borderId="53" xfId="0" applyFont="1" applyFill="1" applyBorder="1" applyAlignment="1">
      <alignment horizontal="center"/>
    </xf>
    <xf numFmtId="0" fontId="27" fillId="2" borderId="58" xfId="0" applyFont="1" applyFill="1" applyBorder="1" applyAlignment="1">
      <alignment horizontal="center"/>
    </xf>
    <xf numFmtId="0" fontId="27" fillId="2" borderId="5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/>
    </xf>
    <xf numFmtId="0" fontId="15" fillId="2" borderId="28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0" fillId="6" borderId="27" xfId="0" applyFont="1" applyFill="1" applyBorder="1" applyAlignment="1">
      <alignment horizontal="center" vertical="center" wrapText="1"/>
    </xf>
    <xf numFmtId="0" fontId="30" fillId="6" borderId="28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 wrapText="1"/>
    </xf>
    <xf numFmtId="0" fontId="30" fillId="6" borderId="11" xfId="0" applyFont="1" applyFill="1" applyBorder="1" applyAlignment="1">
      <alignment horizontal="center" vertical="center" wrapText="1"/>
    </xf>
    <xf numFmtId="0" fontId="30" fillId="6" borderId="52" xfId="0" applyFont="1" applyFill="1" applyBorder="1" applyAlignment="1">
      <alignment horizontal="center" vertical="center" wrapText="1"/>
    </xf>
    <xf numFmtId="0" fontId="30" fillId="6" borderId="50" xfId="0" applyFont="1" applyFill="1" applyBorder="1" applyAlignment="1">
      <alignment horizontal="center" vertical="center" wrapText="1"/>
    </xf>
    <xf numFmtId="0" fontId="30" fillId="6" borderId="25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0" fillId="6" borderId="68" xfId="0" applyFont="1" applyFill="1" applyBorder="1" applyAlignment="1">
      <alignment horizontal="left" wrapText="1"/>
    </xf>
    <xf numFmtId="0" fontId="30" fillId="6" borderId="67" xfId="0" applyFont="1" applyFill="1" applyBorder="1" applyAlignment="1">
      <alignment horizontal="left" wrapText="1"/>
    </xf>
    <xf numFmtId="0" fontId="30" fillId="6" borderId="52" xfId="0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15" fillId="2" borderId="6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6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82" xfId="0" applyFont="1" applyFill="1" applyBorder="1" applyAlignment="1">
      <alignment horizontal="right" wrapText="1"/>
    </xf>
    <xf numFmtId="0" fontId="15" fillId="2" borderId="53" xfId="0" applyFont="1" applyFill="1" applyBorder="1" applyAlignment="1">
      <alignment horizontal="right" wrapText="1"/>
    </xf>
    <xf numFmtId="0" fontId="15" fillId="2" borderId="18" xfId="0" applyFont="1" applyFill="1" applyBorder="1" applyAlignment="1">
      <alignment wrapText="1"/>
    </xf>
    <xf numFmtId="0" fontId="15" fillId="2" borderId="51" xfId="0" applyFont="1" applyFill="1" applyBorder="1" applyAlignment="1">
      <alignment horizontal="center" vertical="center" wrapText="1"/>
    </xf>
    <xf numFmtId="0" fontId="15" fillId="2" borderId="69" xfId="0" applyFont="1" applyFill="1" applyBorder="1" applyAlignment="1">
      <alignment horizontal="center" vertical="center" wrapText="1"/>
    </xf>
    <xf numFmtId="0" fontId="15" fillId="2" borderId="80" xfId="0" applyFont="1" applyFill="1" applyBorder="1" applyAlignment="1">
      <alignment horizontal="center" vertical="center" wrapText="1"/>
    </xf>
    <xf numFmtId="0" fontId="15" fillId="2" borderId="70" xfId="0" applyFont="1" applyFill="1" applyBorder="1" applyAlignment="1">
      <alignment horizontal="center" vertical="center" wrapText="1"/>
    </xf>
    <xf numFmtId="0" fontId="15" fillId="2" borderId="81" xfId="0" applyFont="1" applyFill="1" applyBorder="1" applyAlignment="1">
      <alignment horizontal="center" vertical="center" wrapText="1"/>
    </xf>
    <xf numFmtId="0" fontId="15" fillId="2" borderId="52" xfId="0" applyFont="1" applyFill="1" applyBorder="1" applyAlignment="1">
      <alignment horizontal="center" vertical="center" wrapText="1"/>
    </xf>
    <xf numFmtId="0" fontId="15" fillId="2" borderId="62" xfId="0" applyFont="1" applyFill="1" applyBorder="1" applyAlignment="1">
      <alignment horizontal="center" vertical="center" wrapText="1"/>
    </xf>
    <xf numFmtId="0" fontId="15" fillId="2" borderId="64" xfId="0" applyFont="1" applyFill="1" applyBorder="1" applyAlignment="1">
      <alignment horizontal="center" vertical="center" wrapText="1"/>
    </xf>
    <xf numFmtId="0" fontId="15" fillId="2" borderId="65" xfId="0" applyFont="1" applyFill="1" applyBorder="1" applyAlignment="1">
      <alignment horizontal="center" vertical="center" wrapText="1"/>
    </xf>
    <xf numFmtId="0" fontId="15" fillId="2" borderId="97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2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0" fontId="15" fillId="2" borderId="56" xfId="0" applyFont="1" applyFill="1" applyBorder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5" fillId="2" borderId="99" xfId="0" applyFont="1" applyFill="1" applyBorder="1" applyAlignment="1">
      <alignment horizontal="center" vertical="center" wrapText="1"/>
    </xf>
    <xf numFmtId="0" fontId="15" fillId="2" borderId="9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66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8" fillId="0" borderId="0" xfId="0" applyFont="1" applyAlignment="1">
      <alignment horizontal="center"/>
    </xf>
  </cellXfs>
  <cellStyles count="27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0" xfId="8" xr:uid="{00000000-0005-0000-0000-000007000000}"/>
    <cellStyle name="Currency0" xfId="9" xr:uid="{00000000-0005-0000-0000-000008000000}"/>
    <cellStyle name="Date" xfId="10" xr:uid="{00000000-0005-0000-0000-000009000000}"/>
    <cellStyle name="Fixed" xfId="11" xr:uid="{00000000-0005-0000-0000-00000A000000}"/>
    <cellStyle name="Heading 1" xfId="12" builtinId="16" customBuiltin="1"/>
    <cellStyle name="Heading 2" xfId="13" builtinId="17" customBuiltin="1"/>
    <cellStyle name="Normal" xfId="0" builtinId="0"/>
    <cellStyle name="Normal - Style1" xfId="14" xr:uid="{00000000-0005-0000-0000-00000E000000}"/>
    <cellStyle name="Total" xfId="15" builtinId="25" customBuiltin="1"/>
    <cellStyle name="똿뗦먛귟 [0.00]_PRODUCT DETAIL Q1" xfId="16" xr:uid="{00000000-0005-0000-0000-000010000000}"/>
    <cellStyle name="똿뗦먛귟_PRODUCT DETAIL Q1" xfId="17" xr:uid="{00000000-0005-0000-0000-000011000000}"/>
    <cellStyle name="믅됞 [0.00]_PRODUCT DETAIL Q1" xfId="18" xr:uid="{00000000-0005-0000-0000-000012000000}"/>
    <cellStyle name="믅됞_PRODUCT DETAIL Q1" xfId="19" xr:uid="{00000000-0005-0000-0000-000013000000}"/>
    <cellStyle name="백분율_HOBONG" xfId="20" xr:uid="{00000000-0005-0000-0000-000014000000}"/>
    <cellStyle name="뷭?_BOOKSHIP" xfId="21" xr:uid="{00000000-0005-0000-0000-000015000000}"/>
    <cellStyle name="콤마 [0]_1202" xfId="22" xr:uid="{00000000-0005-0000-0000-000016000000}"/>
    <cellStyle name="콤마_1202" xfId="23" xr:uid="{00000000-0005-0000-0000-000017000000}"/>
    <cellStyle name="통화 [0]_1202" xfId="24" xr:uid="{00000000-0005-0000-0000-000018000000}"/>
    <cellStyle name="통화_1202" xfId="25" xr:uid="{00000000-0005-0000-0000-000019000000}"/>
    <cellStyle name="표준_(정보부문)월별인원계획" xfId="26" xr:uid="{00000000-0005-0000-0000-00001A000000}"/>
  </cellStyles>
  <dxfs count="0"/>
  <tableStyles count="0" defaultTableStyle="TableStyleMedium2" defaultPivotStyle="PivotStyleLight16"/>
  <colors>
    <mruColors>
      <color rgb="FF0000FF"/>
      <color rgb="FFCC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1113" name="Line 1">
          <a:extLst>
            <a:ext uri="{FF2B5EF4-FFF2-40B4-BE49-F238E27FC236}">
              <a16:creationId xmlns:a16="http://schemas.microsoft.com/office/drawing/2014/main" id="{00000000-0008-0000-0500-000059040000}"/>
            </a:ext>
          </a:extLst>
        </xdr:cNvPr>
        <xdr:cNvSpPr>
          <a:spLocks noChangeShapeType="1"/>
        </xdr:cNvSpPr>
      </xdr:nvSpPr>
      <xdr:spPr bwMode="auto">
        <a:xfrm>
          <a:off x="4933950" y="1304925"/>
          <a:ext cx="17716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1114" name="Line 7">
          <a:extLst>
            <a:ext uri="{FF2B5EF4-FFF2-40B4-BE49-F238E27FC236}">
              <a16:creationId xmlns:a16="http://schemas.microsoft.com/office/drawing/2014/main" id="{00000000-0008-0000-0500-00005A040000}"/>
            </a:ext>
          </a:extLst>
        </xdr:cNvPr>
        <xdr:cNvSpPr>
          <a:spLocks noChangeShapeType="1"/>
        </xdr:cNvSpPr>
      </xdr:nvSpPr>
      <xdr:spPr bwMode="auto">
        <a:xfrm>
          <a:off x="4933950" y="1304925"/>
          <a:ext cx="17716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i%20lieu\anhvan\tam\nah%2095-97\My%20Documents\DT%20XECEL\A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 Ph­¬ng mai 2"/>
      <sheetName val="CL Ph­¬ng mai 2"/>
      <sheetName val="DT MN V¨n H­¬ng"/>
      <sheetName val="CL MN V¨n H­¬ng"/>
      <sheetName val="DT Hµ t©y"/>
      <sheetName val="CL Hµ t©y"/>
      <sheetName val="DT Bæ tóc"/>
      <sheetName val="CL Bæ tóc"/>
      <sheetName val="DT Ph­¬ng mai 1"/>
      <sheetName val="CL Ph­¬ng mai  1"/>
      <sheetName val="§¬n gi¸ chÝnh"/>
      <sheetName val="Dù to¸n mÉu"/>
      <sheetName val="CLVL MÉu"/>
      <sheetName val="00000000"/>
      <sheetName val="Dialo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>
            <v>0</v>
          </cell>
        </row>
        <row r="5">
          <cell r="F5">
            <v>1369</v>
          </cell>
        </row>
        <row r="6">
          <cell r="F6">
            <v>1712</v>
          </cell>
        </row>
        <row r="7">
          <cell r="F7">
            <v>1011</v>
          </cell>
        </row>
        <row r="9">
          <cell r="F9">
            <v>1011</v>
          </cell>
        </row>
        <row r="10">
          <cell r="F10">
            <v>643.1</v>
          </cell>
        </row>
        <row r="11">
          <cell r="F11">
            <v>2750</v>
          </cell>
        </row>
        <row r="12">
          <cell r="F12">
            <v>3951</v>
          </cell>
        </row>
        <row r="13">
          <cell r="F13">
            <v>1617</v>
          </cell>
        </row>
        <row r="14">
          <cell r="F14">
            <v>2780</v>
          </cell>
        </row>
        <row r="15">
          <cell r="F15">
            <v>4052</v>
          </cell>
        </row>
        <row r="16">
          <cell r="F16">
            <v>1232</v>
          </cell>
        </row>
        <row r="17">
          <cell r="F17">
            <v>1960</v>
          </cell>
        </row>
        <row r="18">
          <cell r="F18">
            <v>780</v>
          </cell>
        </row>
        <row r="19">
          <cell r="F19">
            <v>2206</v>
          </cell>
        </row>
        <row r="20">
          <cell r="F20">
            <v>2206</v>
          </cell>
        </row>
        <row r="21">
          <cell r="F21">
            <v>1312</v>
          </cell>
        </row>
        <row r="22">
          <cell r="F22">
            <v>12840</v>
          </cell>
        </row>
        <row r="23">
          <cell r="F23">
            <v>2599</v>
          </cell>
        </row>
        <row r="24">
          <cell r="F24">
            <v>1471</v>
          </cell>
        </row>
        <row r="25">
          <cell r="F25">
            <v>135290</v>
          </cell>
        </row>
        <row r="26">
          <cell r="F26">
            <v>1894</v>
          </cell>
        </row>
        <row r="27">
          <cell r="F27">
            <v>3632</v>
          </cell>
        </row>
        <row r="28">
          <cell r="F28">
            <v>1894</v>
          </cell>
        </row>
        <row r="29">
          <cell r="F29">
            <v>14747</v>
          </cell>
        </row>
        <row r="30">
          <cell r="F30">
            <v>5835</v>
          </cell>
        </row>
        <row r="31">
          <cell r="F31">
            <v>12840</v>
          </cell>
        </row>
        <row r="32">
          <cell r="F32">
            <v>1471</v>
          </cell>
        </row>
        <row r="33">
          <cell r="F33">
            <v>12840</v>
          </cell>
        </row>
        <row r="40">
          <cell r="F40">
            <v>324</v>
          </cell>
        </row>
        <row r="41">
          <cell r="F41">
            <v>891</v>
          </cell>
        </row>
        <row r="42">
          <cell r="F42">
            <v>891</v>
          </cell>
        </row>
        <row r="43">
          <cell r="F43">
            <v>130</v>
          </cell>
        </row>
        <row r="53">
          <cell r="F53">
            <v>400</v>
          </cell>
        </row>
        <row r="54">
          <cell r="F54">
            <v>1068</v>
          </cell>
        </row>
        <row r="55">
          <cell r="F55">
            <v>12840</v>
          </cell>
        </row>
        <row r="56">
          <cell r="F56">
            <v>12840</v>
          </cell>
        </row>
        <row r="60">
          <cell r="F60">
            <v>2470</v>
          </cell>
        </row>
        <row r="61">
          <cell r="F61">
            <v>2007</v>
          </cell>
        </row>
        <row r="62">
          <cell r="F62">
            <v>12840</v>
          </cell>
        </row>
        <row r="63">
          <cell r="F63">
            <v>10700</v>
          </cell>
        </row>
        <row r="64">
          <cell r="F64">
            <v>2189</v>
          </cell>
        </row>
        <row r="65">
          <cell r="F65">
            <v>2736</v>
          </cell>
        </row>
        <row r="66">
          <cell r="F66">
            <v>2736</v>
          </cell>
        </row>
        <row r="67">
          <cell r="F67">
            <v>1519</v>
          </cell>
        </row>
        <row r="68">
          <cell r="F68">
            <v>304</v>
          </cell>
        </row>
        <row r="69">
          <cell r="F69">
            <v>12840</v>
          </cell>
        </row>
        <row r="70">
          <cell r="F70">
            <v>12840</v>
          </cell>
        </row>
        <row r="72">
          <cell r="F72">
            <v>2803</v>
          </cell>
        </row>
        <row r="73">
          <cell r="F73">
            <v>8072</v>
          </cell>
        </row>
        <row r="74">
          <cell r="F74">
            <v>1528</v>
          </cell>
        </row>
        <row r="75">
          <cell r="F75">
            <v>12840</v>
          </cell>
        </row>
        <row r="76">
          <cell r="F76">
            <v>540</v>
          </cell>
        </row>
        <row r="82">
          <cell r="F82">
            <v>1518.99</v>
          </cell>
        </row>
        <row r="83">
          <cell r="F83">
            <v>12840</v>
          </cell>
        </row>
        <row r="89">
          <cell r="F89">
            <v>8988</v>
          </cell>
        </row>
        <row r="90">
          <cell r="F90">
            <v>2736</v>
          </cell>
        </row>
        <row r="91">
          <cell r="F91">
            <v>5188</v>
          </cell>
        </row>
        <row r="92">
          <cell r="F92">
            <v>51495</v>
          </cell>
        </row>
        <row r="93">
          <cell r="F93">
            <v>1700.58</v>
          </cell>
        </row>
        <row r="94">
          <cell r="F94">
            <v>1700.58</v>
          </cell>
        </row>
        <row r="95">
          <cell r="F95">
            <v>1700.58</v>
          </cell>
        </row>
        <row r="96">
          <cell r="F96">
            <v>12840</v>
          </cell>
        </row>
        <row r="97">
          <cell r="F97">
            <v>2375</v>
          </cell>
        </row>
        <row r="100">
          <cell r="F100">
            <v>12840</v>
          </cell>
        </row>
        <row r="101">
          <cell r="F101">
            <v>20714</v>
          </cell>
        </row>
        <row r="102">
          <cell r="F102">
            <v>2969</v>
          </cell>
        </row>
        <row r="103">
          <cell r="F103">
            <v>20000</v>
          </cell>
        </row>
        <row r="105">
          <cell r="F105">
            <v>36282</v>
          </cell>
        </row>
        <row r="107">
          <cell r="F107">
            <v>4525</v>
          </cell>
        </row>
        <row r="108">
          <cell r="F108">
            <v>5430</v>
          </cell>
        </row>
        <row r="113">
          <cell r="F113">
            <v>539</v>
          </cell>
        </row>
        <row r="114">
          <cell r="F114">
            <v>552</v>
          </cell>
        </row>
        <row r="115">
          <cell r="F115">
            <v>1962</v>
          </cell>
        </row>
        <row r="116">
          <cell r="F116">
            <v>1962</v>
          </cell>
        </row>
        <row r="117">
          <cell r="F117">
            <v>892</v>
          </cell>
        </row>
        <row r="118">
          <cell r="F118">
            <v>892</v>
          </cell>
        </row>
        <row r="119">
          <cell r="F119">
            <v>892</v>
          </cell>
        </row>
        <row r="120">
          <cell r="F120">
            <v>892</v>
          </cell>
        </row>
        <row r="122">
          <cell r="F122">
            <v>11940</v>
          </cell>
        </row>
        <row r="125">
          <cell r="F125">
            <v>583.70000000000005</v>
          </cell>
        </row>
        <row r="126">
          <cell r="F126">
            <v>583.70000000000005</v>
          </cell>
        </row>
        <row r="127">
          <cell r="F127">
            <v>4510</v>
          </cell>
        </row>
        <row r="129">
          <cell r="F129">
            <v>10700</v>
          </cell>
        </row>
        <row r="132">
          <cell r="F132">
            <v>5000</v>
          </cell>
        </row>
        <row r="133">
          <cell r="F133">
            <v>5000</v>
          </cell>
        </row>
        <row r="135">
          <cell r="F135">
            <v>4510</v>
          </cell>
        </row>
        <row r="136">
          <cell r="F136">
            <v>1649</v>
          </cell>
        </row>
        <row r="137">
          <cell r="F137">
            <v>1649</v>
          </cell>
        </row>
        <row r="138">
          <cell r="F138">
            <v>1649</v>
          </cell>
        </row>
        <row r="139">
          <cell r="F139">
            <v>1649</v>
          </cell>
        </row>
        <row r="140">
          <cell r="F140">
            <v>10000</v>
          </cell>
        </row>
        <row r="141">
          <cell r="F141">
            <v>5000</v>
          </cell>
        </row>
        <row r="142">
          <cell r="F142">
            <v>50000</v>
          </cell>
        </row>
        <row r="143">
          <cell r="F143">
            <v>35490</v>
          </cell>
        </row>
        <row r="148">
          <cell r="F148">
            <v>300</v>
          </cell>
        </row>
        <row r="149">
          <cell r="F149">
            <v>465</v>
          </cell>
        </row>
        <row r="150">
          <cell r="F150">
            <v>300</v>
          </cell>
        </row>
        <row r="151">
          <cell r="F151">
            <v>8068</v>
          </cell>
        </row>
        <row r="152">
          <cell r="F152">
            <v>6413</v>
          </cell>
        </row>
        <row r="154">
          <cell r="F154">
            <v>43152</v>
          </cell>
        </row>
        <row r="155">
          <cell r="F155">
            <v>13079</v>
          </cell>
        </row>
        <row r="156">
          <cell r="F156">
            <v>10700</v>
          </cell>
        </row>
        <row r="157">
          <cell r="F157">
            <v>35490</v>
          </cell>
        </row>
        <row r="160">
          <cell r="F160">
            <v>3091</v>
          </cell>
        </row>
        <row r="161">
          <cell r="F161">
            <v>3091</v>
          </cell>
        </row>
        <row r="162">
          <cell r="F162">
            <v>2089</v>
          </cell>
        </row>
        <row r="163">
          <cell r="F163">
            <v>1962</v>
          </cell>
        </row>
        <row r="165">
          <cell r="F165">
            <v>2189</v>
          </cell>
        </row>
        <row r="166">
          <cell r="F166">
            <v>583.70000000000005</v>
          </cell>
        </row>
        <row r="170">
          <cell r="F170">
            <v>12960</v>
          </cell>
        </row>
        <row r="175">
          <cell r="F175">
            <v>15494</v>
          </cell>
        </row>
        <row r="554">
          <cell r="F554">
            <v>1490</v>
          </cell>
        </row>
        <row r="555">
          <cell r="F555">
            <v>6082</v>
          </cell>
        </row>
        <row r="556">
          <cell r="F556">
            <v>1738</v>
          </cell>
        </row>
        <row r="557">
          <cell r="F557">
            <v>6827</v>
          </cell>
        </row>
        <row r="558">
          <cell r="F558">
            <v>2483</v>
          </cell>
        </row>
        <row r="559">
          <cell r="F559">
            <v>8689</v>
          </cell>
        </row>
        <row r="560">
          <cell r="F560">
            <v>16758</v>
          </cell>
        </row>
        <row r="561">
          <cell r="F561">
            <v>40218</v>
          </cell>
        </row>
        <row r="562">
          <cell r="F562">
            <v>15695</v>
          </cell>
        </row>
        <row r="563">
          <cell r="F563">
            <v>15695</v>
          </cell>
        </row>
        <row r="564">
          <cell r="F564">
            <v>15695</v>
          </cell>
        </row>
        <row r="565">
          <cell r="F565">
            <v>27369</v>
          </cell>
        </row>
        <row r="566">
          <cell r="F566">
            <v>27369</v>
          </cell>
        </row>
        <row r="567">
          <cell r="F567">
            <v>27369</v>
          </cell>
        </row>
        <row r="568">
          <cell r="F568">
            <v>19716</v>
          </cell>
        </row>
        <row r="569">
          <cell r="F569">
            <v>31390</v>
          </cell>
        </row>
        <row r="570">
          <cell r="F570">
            <v>21662</v>
          </cell>
        </row>
        <row r="571">
          <cell r="F571">
            <v>26072</v>
          </cell>
        </row>
        <row r="572">
          <cell r="F572">
            <v>23607</v>
          </cell>
        </row>
        <row r="573">
          <cell r="F573">
            <v>26720</v>
          </cell>
        </row>
        <row r="574">
          <cell r="F574">
            <v>46177</v>
          </cell>
        </row>
        <row r="575">
          <cell r="F575">
            <v>66152</v>
          </cell>
        </row>
        <row r="576">
          <cell r="F576">
            <v>60964</v>
          </cell>
        </row>
        <row r="577">
          <cell r="F577">
            <v>115312</v>
          </cell>
        </row>
        <row r="578">
          <cell r="F578">
            <v>68746</v>
          </cell>
        </row>
        <row r="579">
          <cell r="F579">
            <v>118036</v>
          </cell>
        </row>
        <row r="580">
          <cell r="F580">
            <v>389</v>
          </cell>
        </row>
        <row r="581">
          <cell r="F581">
            <v>649</v>
          </cell>
        </row>
        <row r="582">
          <cell r="F582">
            <v>1167</v>
          </cell>
        </row>
        <row r="583">
          <cell r="F583">
            <v>908</v>
          </cell>
        </row>
        <row r="584">
          <cell r="F584">
            <v>1038</v>
          </cell>
        </row>
        <row r="585">
          <cell r="F585">
            <v>519</v>
          </cell>
        </row>
        <row r="586">
          <cell r="F586">
            <v>778</v>
          </cell>
        </row>
        <row r="587">
          <cell r="F587">
            <v>1167</v>
          </cell>
        </row>
        <row r="588">
          <cell r="F588">
            <v>2594</v>
          </cell>
        </row>
        <row r="589">
          <cell r="F589">
            <v>259</v>
          </cell>
        </row>
        <row r="590">
          <cell r="F590">
            <v>454</v>
          </cell>
        </row>
        <row r="591">
          <cell r="F591">
            <v>1038</v>
          </cell>
        </row>
        <row r="592">
          <cell r="F592">
            <v>1245</v>
          </cell>
        </row>
        <row r="593">
          <cell r="F593">
            <v>23348</v>
          </cell>
        </row>
        <row r="594">
          <cell r="F594">
            <v>21402</v>
          </cell>
        </row>
        <row r="595">
          <cell r="F595">
            <v>14138</v>
          </cell>
        </row>
        <row r="596">
          <cell r="F596">
            <v>26201</v>
          </cell>
        </row>
        <row r="597">
          <cell r="F597">
            <v>24385</v>
          </cell>
        </row>
        <row r="598">
          <cell r="F598">
            <v>24515</v>
          </cell>
        </row>
        <row r="599">
          <cell r="F599">
            <v>24515</v>
          </cell>
        </row>
        <row r="600">
          <cell r="F600">
            <v>38783</v>
          </cell>
        </row>
        <row r="601">
          <cell r="F601">
            <v>38783</v>
          </cell>
        </row>
        <row r="602">
          <cell r="F602">
            <v>84.311999999999998</v>
          </cell>
        </row>
        <row r="603">
          <cell r="F603">
            <v>114.145</v>
          </cell>
        </row>
        <row r="604">
          <cell r="F604">
            <v>778</v>
          </cell>
        </row>
        <row r="605">
          <cell r="F605">
            <v>1167</v>
          </cell>
        </row>
        <row r="606">
          <cell r="F606">
            <v>389</v>
          </cell>
        </row>
        <row r="607">
          <cell r="F607">
            <v>519</v>
          </cell>
        </row>
        <row r="608">
          <cell r="F608">
            <v>649</v>
          </cell>
        </row>
        <row r="609">
          <cell r="F609">
            <v>778</v>
          </cell>
        </row>
        <row r="610">
          <cell r="F610">
            <v>778</v>
          </cell>
        </row>
        <row r="611">
          <cell r="F611">
            <v>519</v>
          </cell>
        </row>
        <row r="612">
          <cell r="F612">
            <v>1427</v>
          </cell>
        </row>
        <row r="613">
          <cell r="F613">
            <v>1686</v>
          </cell>
        </row>
        <row r="614">
          <cell r="F614">
            <v>389</v>
          </cell>
        </row>
        <row r="615">
          <cell r="F615">
            <v>519</v>
          </cell>
        </row>
        <row r="616">
          <cell r="F616">
            <v>519</v>
          </cell>
        </row>
        <row r="617">
          <cell r="F617">
            <v>778</v>
          </cell>
        </row>
        <row r="618">
          <cell r="F618">
            <v>1297</v>
          </cell>
        </row>
        <row r="619">
          <cell r="F619">
            <v>5837</v>
          </cell>
        </row>
        <row r="620">
          <cell r="F620">
            <v>1297</v>
          </cell>
        </row>
        <row r="621">
          <cell r="F621">
            <v>1686</v>
          </cell>
        </row>
        <row r="622">
          <cell r="F622">
            <v>1946</v>
          </cell>
        </row>
        <row r="623">
          <cell r="F623">
            <v>7783</v>
          </cell>
        </row>
        <row r="624">
          <cell r="F624">
            <v>2594</v>
          </cell>
        </row>
        <row r="625">
          <cell r="F625">
            <v>11373</v>
          </cell>
        </row>
        <row r="626">
          <cell r="F626">
            <v>12099</v>
          </cell>
        </row>
        <row r="627">
          <cell r="F627">
            <v>19721</v>
          </cell>
        </row>
        <row r="628">
          <cell r="F628">
            <v>17302</v>
          </cell>
        </row>
        <row r="629">
          <cell r="F629">
            <v>5445</v>
          </cell>
        </row>
        <row r="630">
          <cell r="F630">
            <v>7501</v>
          </cell>
        </row>
        <row r="631">
          <cell r="F631">
            <v>9437</v>
          </cell>
        </row>
        <row r="632">
          <cell r="F632">
            <v>6775</v>
          </cell>
        </row>
        <row r="633">
          <cell r="F633">
            <v>9921</v>
          </cell>
        </row>
        <row r="634">
          <cell r="F634">
            <v>15003</v>
          </cell>
        </row>
        <row r="635">
          <cell r="F635">
            <v>23351</v>
          </cell>
        </row>
        <row r="636">
          <cell r="F636">
            <v>7501</v>
          </cell>
        </row>
        <row r="637">
          <cell r="F637">
            <v>10647</v>
          </cell>
        </row>
        <row r="638">
          <cell r="F638">
            <v>15850</v>
          </cell>
        </row>
        <row r="639">
          <cell r="F639">
            <v>24198</v>
          </cell>
        </row>
        <row r="640">
          <cell r="F640">
            <v>5566</v>
          </cell>
        </row>
        <row r="641">
          <cell r="F641">
            <v>7622</v>
          </cell>
        </row>
        <row r="642">
          <cell r="F642">
            <v>11736</v>
          </cell>
        </row>
        <row r="643">
          <cell r="F643">
            <v>17665</v>
          </cell>
        </row>
        <row r="644">
          <cell r="F644">
            <v>13188</v>
          </cell>
        </row>
        <row r="645">
          <cell r="F645">
            <v>9195</v>
          </cell>
        </row>
        <row r="646">
          <cell r="F646">
            <v>14398</v>
          </cell>
        </row>
        <row r="647">
          <cell r="F647">
            <v>22988</v>
          </cell>
        </row>
        <row r="648">
          <cell r="F648">
            <v>37507</v>
          </cell>
        </row>
        <row r="649">
          <cell r="F649">
            <v>13188</v>
          </cell>
        </row>
        <row r="650">
          <cell r="F650">
            <v>19116</v>
          </cell>
        </row>
        <row r="651">
          <cell r="F651">
            <v>28312</v>
          </cell>
        </row>
        <row r="652">
          <cell r="F652">
            <v>43556</v>
          </cell>
        </row>
        <row r="653">
          <cell r="F653">
            <v>6050</v>
          </cell>
        </row>
        <row r="654">
          <cell r="F654">
            <v>9316</v>
          </cell>
        </row>
        <row r="655">
          <cell r="F655">
            <v>15124</v>
          </cell>
        </row>
        <row r="656">
          <cell r="F656">
            <v>24198</v>
          </cell>
        </row>
        <row r="657">
          <cell r="F657">
            <v>18269</v>
          </cell>
        </row>
        <row r="658">
          <cell r="F658">
            <v>28312</v>
          </cell>
        </row>
        <row r="659">
          <cell r="F659">
            <v>16334</v>
          </cell>
        </row>
        <row r="660">
          <cell r="F660">
            <v>6331</v>
          </cell>
        </row>
        <row r="661">
          <cell r="F661">
            <v>7448</v>
          </cell>
        </row>
        <row r="662">
          <cell r="F662">
            <v>8317</v>
          </cell>
        </row>
        <row r="663">
          <cell r="F663">
            <v>8317</v>
          </cell>
        </row>
        <row r="664">
          <cell r="F664">
            <v>6775</v>
          </cell>
        </row>
        <row r="665">
          <cell r="F665">
            <v>6775</v>
          </cell>
        </row>
        <row r="666">
          <cell r="F666">
            <v>188.08</v>
          </cell>
        </row>
        <row r="667">
          <cell r="F667">
            <v>194.56</v>
          </cell>
        </row>
        <row r="668">
          <cell r="F668">
            <v>259.42</v>
          </cell>
        </row>
        <row r="669">
          <cell r="F669">
            <v>259.42</v>
          </cell>
        </row>
        <row r="671">
          <cell r="F671">
            <v>233.48</v>
          </cell>
        </row>
        <row r="672">
          <cell r="F672">
            <v>364.49</v>
          </cell>
        </row>
        <row r="673">
          <cell r="F673">
            <v>12960</v>
          </cell>
        </row>
        <row r="674">
          <cell r="F674">
            <v>622.61</v>
          </cell>
        </row>
        <row r="675">
          <cell r="F675">
            <v>648.54999999999995</v>
          </cell>
        </row>
        <row r="676">
          <cell r="F676">
            <v>882.03</v>
          </cell>
        </row>
        <row r="677">
          <cell r="F677">
            <v>679.68</v>
          </cell>
        </row>
        <row r="678">
          <cell r="F678">
            <v>840.52</v>
          </cell>
        </row>
        <row r="679">
          <cell r="F679">
            <v>1011.74</v>
          </cell>
        </row>
        <row r="680">
          <cell r="F680">
            <v>3923</v>
          </cell>
        </row>
        <row r="681">
          <cell r="F681">
            <v>4600</v>
          </cell>
        </row>
        <row r="682">
          <cell r="F682">
            <v>10417</v>
          </cell>
        </row>
        <row r="683">
          <cell r="F683">
            <v>10958</v>
          </cell>
        </row>
        <row r="684">
          <cell r="F684">
            <v>12988</v>
          </cell>
        </row>
        <row r="687">
          <cell r="F687">
            <v>24775</v>
          </cell>
        </row>
        <row r="688">
          <cell r="F688">
            <v>24775</v>
          </cell>
        </row>
        <row r="689">
          <cell r="F689">
            <v>24775</v>
          </cell>
        </row>
        <row r="690">
          <cell r="F690">
            <v>23867</v>
          </cell>
        </row>
        <row r="691">
          <cell r="F691">
            <v>23867</v>
          </cell>
        </row>
        <row r="692">
          <cell r="F692">
            <v>23867</v>
          </cell>
        </row>
        <row r="693">
          <cell r="F693">
            <v>32428</v>
          </cell>
        </row>
        <row r="694">
          <cell r="F694">
            <v>32428</v>
          </cell>
        </row>
        <row r="695">
          <cell r="F695">
            <v>32428</v>
          </cell>
        </row>
        <row r="696">
          <cell r="F696">
            <v>26980</v>
          </cell>
        </row>
        <row r="697">
          <cell r="F697">
            <v>26980</v>
          </cell>
        </row>
        <row r="698">
          <cell r="F698">
            <v>26980</v>
          </cell>
        </row>
        <row r="699">
          <cell r="F699">
            <v>30741</v>
          </cell>
        </row>
        <row r="700">
          <cell r="F700">
            <v>30741</v>
          </cell>
        </row>
        <row r="701">
          <cell r="F701">
            <v>30741</v>
          </cell>
        </row>
        <row r="702">
          <cell r="F702">
            <v>21662</v>
          </cell>
        </row>
        <row r="703">
          <cell r="F703">
            <v>21662</v>
          </cell>
        </row>
        <row r="704">
          <cell r="F704">
            <v>21662</v>
          </cell>
        </row>
        <row r="705">
          <cell r="F705">
            <v>21662</v>
          </cell>
        </row>
        <row r="706">
          <cell r="F706">
            <v>21662</v>
          </cell>
        </row>
        <row r="707">
          <cell r="F707">
            <v>19327</v>
          </cell>
        </row>
        <row r="708">
          <cell r="F708">
            <v>19327</v>
          </cell>
        </row>
        <row r="709">
          <cell r="F709">
            <v>19327</v>
          </cell>
        </row>
        <row r="710">
          <cell r="F710">
            <v>19327</v>
          </cell>
        </row>
        <row r="711">
          <cell r="F711">
            <v>19327</v>
          </cell>
        </row>
        <row r="712">
          <cell r="F712">
            <v>21662</v>
          </cell>
        </row>
        <row r="713">
          <cell r="F713">
            <v>21662</v>
          </cell>
        </row>
        <row r="714">
          <cell r="F714">
            <v>21662</v>
          </cell>
        </row>
        <row r="715">
          <cell r="F715">
            <v>21662</v>
          </cell>
        </row>
        <row r="716">
          <cell r="F716">
            <v>21662</v>
          </cell>
        </row>
        <row r="717">
          <cell r="F717">
            <v>19327</v>
          </cell>
        </row>
        <row r="718">
          <cell r="F718">
            <v>19327</v>
          </cell>
        </row>
        <row r="719">
          <cell r="F719">
            <v>19327</v>
          </cell>
        </row>
        <row r="720">
          <cell r="F720">
            <v>19327</v>
          </cell>
        </row>
        <row r="721">
          <cell r="F721">
            <v>19327</v>
          </cell>
        </row>
        <row r="722">
          <cell r="F722">
            <v>31260</v>
          </cell>
        </row>
        <row r="723">
          <cell r="F723">
            <v>31260</v>
          </cell>
        </row>
        <row r="724">
          <cell r="F724">
            <v>31260</v>
          </cell>
        </row>
        <row r="725">
          <cell r="F725">
            <v>31260</v>
          </cell>
        </row>
        <row r="726">
          <cell r="F726">
            <v>31260</v>
          </cell>
        </row>
        <row r="727">
          <cell r="F727">
            <v>31260</v>
          </cell>
        </row>
        <row r="728">
          <cell r="F728">
            <v>31260</v>
          </cell>
        </row>
        <row r="729">
          <cell r="F729">
            <v>31260</v>
          </cell>
        </row>
        <row r="730">
          <cell r="F730">
            <v>31260</v>
          </cell>
        </row>
        <row r="731">
          <cell r="F731">
            <v>31260</v>
          </cell>
        </row>
        <row r="732">
          <cell r="F732">
            <v>31520</v>
          </cell>
        </row>
        <row r="733">
          <cell r="F733">
            <v>31520</v>
          </cell>
        </row>
        <row r="734">
          <cell r="F734">
            <v>31520</v>
          </cell>
        </row>
        <row r="735">
          <cell r="F735">
            <v>31520</v>
          </cell>
        </row>
        <row r="736">
          <cell r="F736">
            <v>31520</v>
          </cell>
        </row>
        <row r="737">
          <cell r="F737">
            <v>31520</v>
          </cell>
        </row>
        <row r="738">
          <cell r="F738">
            <v>31520</v>
          </cell>
        </row>
        <row r="739">
          <cell r="F739">
            <v>31520</v>
          </cell>
        </row>
        <row r="740">
          <cell r="F740">
            <v>31520</v>
          </cell>
        </row>
        <row r="741">
          <cell r="F741">
            <v>31520</v>
          </cell>
        </row>
        <row r="742">
          <cell r="F742">
            <v>31520</v>
          </cell>
        </row>
        <row r="743">
          <cell r="F743">
            <v>31260</v>
          </cell>
        </row>
        <row r="744">
          <cell r="F744">
            <v>31260</v>
          </cell>
        </row>
        <row r="745">
          <cell r="F745">
            <v>31260</v>
          </cell>
        </row>
        <row r="746">
          <cell r="F746">
            <v>31260</v>
          </cell>
        </row>
        <row r="747">
          <cell r="F747">
            <v>31260</v>
          </cell>
        </row>
        <row r="748">
          <cell r="F748">
            <v>31520</v>
          </cell>
        </row>
        <row r="749">
          <cell r="F749">
            <v>31520</v>
          </cell>
        </row>
        <row r="750">
          <cell r="F750">
            <v>31520</v>
          </cell>
        </row>
        <row r="751">
          <cell r="F751">
            <v>31520</v>
          </cell>
        </row>
        <row r="752">
          <cell r="F752">
            <v>31520</v>
          </cell>
        </row>
        <row r="753">
          <cell r="F753">
            <v>24904</v>
          </cell>
        </row>
        <row r="754">
          <cell r="F754">
            <v>24904</v>
          </cell>
        </row>
        <row r="755">
          <cell r="F755">
            <v>24904</v>
          </cell>
        </row>
        <row r="756">
          <cell r="F756">
            <v>24904</v>
          </cell>
        </row>
        <row r="757">
          <cell r="F757">
            <v>24904</v>
          </cell>
        </row>
        <row r="758">
          <cell r="F758">
            <v>24904</v>
          </cell>
        </row>
        <row r="759">
          <cell r="F759">
            <v>24904</v>
          </cell>
        </row>
        <row r="760">
          <cell r="F760">
            <v>25553</v>
          </cell>
        </row>
        <row r="761">
          <cell r="F761">
            <v>25553</v>
          </cell>
        </row>
        <row r="762">
          <cell r="F762">
            <v>25553</v>
          </cell>
        </row>
        <row r="763">
          <cell r="F763">
            <v>25553</v>
          </cell>
        </row>
        <row r="764">
          <cell r="F764">
            <v>25553</v>
          </cell>
        </row>
        <row r="765">
          <cell r="F765">
            <v>25553</v>
          </cell>
        </row>
        <row r="766">
          <cell r="F766">
            <v>25553</v>
          </cell>
        </row>
        <row r="767">
          <cell r="F767">
            <v>25553</v>
          </cell>
        </row>
        <row r="768">
          <cell r="F768">
            <v>25553</v>
          </cell>
        </row>
        <row r="769">
          <cell r="F769">
            <v>24904</v>
          </cell>
        </row>
        <row r="770">
          <cell r="F770">
            <v>24904</v>
          </cell>
        </row>
        <row r="771">
          <cell r="F771">
            <v>24904</v>
          </cell>
        </row>
        <row r="772">
          <cell r="F772">
            <v>24904</v>
          </cell>
        </row>
        <row r="773">
          <cell r="F773">
            <v>24904</v>
          </cell>
        </row>
        <row r="774">
          <cell r="F774">
            <v>25553</v>
          </cell>
        </row>
        <row r="775">
          <cell r="F775">
            <v>25553</v>
          </cell>
        </row>
        <row r="776">
          <cell r="F776">
            <v>25553</v>
          </cell>
        </row>
        <row r="777">
          <cell r="F777">
            <v>25553</v>
          </cell>
        </row>
        <row r="778">
          <cell r="F778">
            <v>25553</v>
          </cell>
        </row>
        <row r="779">
          <cell r="F779">
            <v>21532</v>
          </cell>
        </row>
        <row r="780">
          <cell r="F780">
            <v>21532</v>
          </cell>
        </row>
        <row r="781">
          <cell r="F781">
            <v>21532</v>
          </cell>
        </row>
        <row r="782">
          <cell r="F782">
            <v>21532</v>
          </cell>
        </row>
        <row r="783">
          <cell r="F783">
            <v>21532</v>
          </cell>
        </row>
        <row r="784">
          <cell r="F784">
            <v>23348</v>
          </cell>
        </row>
        <row r="785">
          <cell r="F785">
            <v>23348</v>
          </cell>
        </row>
        <row r="786">
          <cell r="F786">
            <v>23348</v>
          </cell>
        </row>
        <row r="787">
          <cell r="F787">
            <v>23348</v>
          </cell>
        </row>
        <row r="788">
          <cell r="F788">
            <v>23348</v>
          </cell>
        </row>
        <row r="789">
          <cell r="F789">
            <v>38913</v>
          </cell>
        </row>
        <row r="790">
          <cell r="F790">
            <v>38913</v>
          </cell>
        </row>
        <row r="791">
          <cell r="F791">
            <v>38913</v>
          </cell>
        </row>
        <row r="792">
          <cell r="F792">
            <v>38913</v>
          </cell>
        </row>
        <row r="793">
          <cell r="F793">
            <v>51884</v>
          </cell>
        </row>
        <row r="794">
          <cell r="F794">
            <v>51884</v>
          </cell>
        </row>
        <row r="795">
          <cell r="F795">
            <v>51884</v>
          </cell>
        </row>
        <row r="796">
          <cell r="F796">
            <v>51884</v>
          </cell>
        </row>
        <row r="797">
          <cell r="F797">
            <v>46696</v>
          </cell>
        </row>
        <row r="798">
          <cell r="F798">
            <v>46696</v>
          </cell>
        </row>
        <row r="799">
          <cell r="F799">
            <v>46696</v>
          </cell>
        </row>
        <row r="800">
          <cell r="F800">
            <v>51884</v>
          </cell>
        </row>
        <row r="801">
          <cell r="F801">
            <v>51884</v>
          </cell>
        </row>
        <row r="802">
          <cell r="F802">
            <v>7653</v>
          </cell>
        </row>
        <row r="803">
          <cell r="F803">
            <v>20481</v>
          </cell>
        </row>
        <row r="804">
          <cell r="F804">
            <v>20481</v>
          </cell>
        </row>
        <row r="805">
          <cell r="F805">
            <v>14647</v>
          </cell>
        </row>
        <row r="806">
          <cell r="F806">
            <v>14647</v>
          </cell>
        </row>
        <row r="807">
          <cell r="F807">
            <v>20357</v>
          </cell>
        </row>
        <row r="808">
          <cell r="F808">
            <v>20357</v>
          </cell>
        </row>
        <row r="809">
          <cell r="F809">
            <v>20357</v>
          </cell>
        </row>
        <row r="810">
          <cell r="F810">
            <v>20357</v>
          </cell>
        </row>
        <row r="811">
          <cell r="F811">
            <v>20357</v>
          </cell>
        </row>
        <row r="812">
          <cell r="F812">
            <v>19612</v>
          </cell>
        </row>
        <row r="813">
          <cell r="F813">
            <v>19612</v>
          </cell>
        </row>
        <row r="814">
          <cell r="F814">
            <v>46177</v>
          </cell>
        </row>
        <row r="815">
          <cell r="F815">
            <v>58370</v>
          </cell>
        </row>
        <row r="816">
          <cell r="F816">
            <v>62520</v>
          </cell>
        </row>
        <row r="817">
          <cell r="F817">
            <v>46177</v>
          </cell>
        </row>
        <row r="818">
          <cell r="F818">
            <v>46177</v>
          </cell>
        </row>
        <row r="819">
          <cell r="F819">
            <v>32168</v>
          </cell>
        </row>
        <row r="820">
          <cell r="F820">
            <v>32168</v>
          </cell>
        </row>
        <row r="821">
          <cell r="F821">
            <v>32168</v>
          </cell>
        </row>
        <row r="822">
          <cell r="F822">
            <v>49290</v>
          </cell>
        </row>
        <row r="823">
          <cell r="F823">
            <v>49290</v>
          </cell>
        </row>
        <row r="824">
          <cell r="F824">
            <v>37616</v>
          </cell>
        </row>
        <row r="825">
          <cell r="F825">
            <v>39821</v>
          </cell>
        </row>
        <row r="826">
          <cell r="F826">
            <v>14523</v>
          </cell>
        </row>
        <row r="827">
          <cell r="F827">
            <v>14523</v>
          </cell>
        </row>
        <row r="828">
          <cell r="F828">
            <v>12289</v>
          </cell>
        </row>
        <row r="829">
          <cell r="F829">
            <v>12289</v>
          </cell>
        </row>
        <row r="830">
          <cell r="F830">
            <v>31901</v>
          </cell>
        </row>
        <row r="831">
          <cell r="F831">
            <v>61693</v>
          </cell>
        </row>
        <row r="832">
          <cell r="F832">
            <v>38729</v>
          </cell>
        </row>
        <row r="833">
          <cell r="F833">
            <v>35501</v>
          </cell>
        </row>
        <row r="834">
          <cell r="F834">
            <v>146.83000000000001</v>
          </cell>
        </row>
        <row r="835">
          <cell r="F835">
            <v>108.18</v>
          </cell>
        </row>
        <row r="836">
          <cell r="F836">
            <v>82.37</v>
          </cell>
        </row>
        <row r="837">
          <cell r="F837">
            <v>179.834</v>
          </cell>
        </row>
        <row r="838">
          <cell r="F838">
            <v>186.29900000000001</v>
          </cell>
        </row>
        <row r="839">
          <cell r="F839">
            <v>147.37700000000001</v>
          </cell>
        </row>
        <row r="840">
          <cell r="F840">
            <v>160.96700000000001</v>
          </cell>
        </row>
        <row r="841">
          <cell r="F841">
            <v>120.065</v>
          </cell>
        </row>
        <row r="842">
          <cell r="F842">
            <v>134.447</v>
          </cell>
        </row>
        <row r="843">
          <cell r="F843">
            <v>196.33</v>
          </cell>
        </row>
        <row r="844">
          <cell r="F844">
            <v>201.34</v>
          </cell>
        </row>
        <row r="845">
          <cell r="F845">
            <v>132.19999999999999</v>
          </cell>
        </row>
        <row r="846">
          <cell r="F846">
            <v>134.44999999999999</v>
          </cell>
        </row>
        <row r="847">
          <cell r="F847">
            <v>111.89</v>
          </cell>
        </row>
        <row r="848">
          <cell r="F848">
            <v>116.77</v>
          </cell>
        </row>
        <row r="849">
          <cell r="F849">
            <v>213.74</v>
          </cell>
        </row>
        <row r="850">
          <cell r="F850">
            <v>218.63</v>
          </cell>
        </row>
        <row r="851">
          <cell r="F851">
            <v>132.47</v>
          </cell>
        </row>
        <row r="852">
          <cell r="F852">
            <v>137.35</v>
          </cell>
        </row>
        <row r="853">
          <cell r="F853">
            <v>120.07</v>
          </cell>
        </row>
        <row r="854">
          <cell r="F854">
            <v>120.99</v>
          </cell>
        </row>
        <row r="855">
          <cell r="F855">
            <v>286.57</v>
          </cell>
        </row>
        <row r="856">
          <cell r="F856">
            <v>286.57</v>
          </cell>
        </row>
        <row r="857">
          <cell r="F857">
            <v>291.72000000000003</v>
          </cell>
        </row>
        <row r="858">
          <cell r="F858">
            <v>291.72000000000003</v>
          </cell>
        </row>
        <row r="859">
          <cell r="F859">
            <v>272.19</v>
          </cell>
        </row>
        <row r="860">
          <cell r="F860">
            <v>272.19</v>
          </cell>
        </row>
        <row r="861">
          <cell r="F861">
            <v>276.94</v>
          </cell>
        </row>
        <row r="862">
          <cell r="F862">
            <v>276.94</v>
          </cell>
        </row>
        <row r="863">
          <cell r="F863">
            <v>189.77</v>
          </cell>
        </row>
        <row r="864">
          <cell r="F864">
            <v>141.51</v>
          </cell>
        </row>
        <row r="865">
          <cell r="F865">
            <v>239.21</v>
          </cell>
        </row>
        <row r="866">
          <cell r="F866">
            <v>244.22</v>
          </cell>
        </row>
        <row r="867">
          <cell r="F867">
            <v>190.13</v>
          </cell>
        </row>
        <row r="868">
          <cell r="F868">
            <v>193.03</v>
          </cell>
        </row>
        <row r="869">
          <cell r="F869">
            <v>185.11</v>
          </cell>
        </row>
        <row r="870">
          <cell r="F870">
            <v>189.99</v>
          </cell>
        </row>
        <row r="871">
          <cell r="F871">
            <v>376.69</v>
          </cell>
        </row>
        <row r="872">
          <cell r="F872">
            <v>381.7</v>
          </cell>
        </row>
        <row r="873">
          <cell r="F873">
            <v>292.12</v>
          </cell>
        </row>
        <row r="874">
          <cell r="F874">
            <v>297</v>
          </cell>
        </row>
        <row r="875">
          <cell r="F875">
            <v>193.03</v>
          </cell>
        </row>
        <row r="876">
          <cell r="F876">
            <v>197.91</v>
          </cell>
        </row>
        <row r="877">
          <cell r="F877">
            <v>221.8</v>
          </cell>
        </row>
        <row r="878">
          <cell r="F878">
            <v>1765.35</v>
          </cell>
        </row>
        <row r="879">
          <cell r="F879">
            <v>6323.36</v>
          </cell>
        </row>
        <row r="880">
          <cell r="F880">
            <v>3852.39</v>
          </cell>
        </row>
        <row r="881">
          <cell r="F881">
            <v>10659.5</v>
          </cell>
        </row>
        <row r="882">
          <cell r="F882">
            <v>4315.75</v>
          </cell>
        </row>
        <row r="883">
          <cell r="F883">
            <v>4651.2700000000004</v>
          </cell>
        </row>
        <row r="884">
          <cell r="F884">
            <v>3646.06</v>
          </cell>
        </row>
        <row r="885">
          <cell r="F885">
            <v>3851.71</v>
          </cell>
        </row>
        <row r="886">
          <cell r="F886">
            <v>6190.87</v>
          </cell>
        </row>
        <row r="887">
          <cell r="F887">
            <v>12730.79</v>
          </cell>
        </row>
        <row r="888">
          <cell r="F888">
            <v>5867.53</v>
          </cell>
        </row>
        <row r="889">
          <cell r="F889">
            <v>7056.73</v>
          </cell>
        </row>
        <row r="890">
          <cell r="F890">
            <v>3180.21</v>
          </cell>
        </row>
        <row r="891">
          <cell r="F891">
            <v>2029</v>
          </cell>
        </row>
        <row r="892">
          <cell r="F892">
            <v>3382</v>
          </cell>
        </row>
        <row r="893">
          <cell r="F893">
            <v>6088</v>
          </cell>
        </row>
        <row r="894">
          <cell r="F894">
            <v>11500</v>
          </cell>
        </row>
        <row r="895">
          <cell r="F895">
            <v>107003</v>
          </cell>
        </row>
        <row r="896">
          <cell r="F896">
            <v>107003</v>
          </cell>
        </row>
        <row r="897">
          <cell r="F897">
            <v>141308</v>
          </cell>
        </row>
        <row r="898">
          <cell r="F898">
            <v>111357</v>
          </cell>
        </row>
        <row r="899">
          <cell r="F899">
            <v>111357</v>
          </cell>
        </row>
        <row r="900">
          <cell r="F900">
            <v>128773</v>
          </cell>
        </row>
        <row r="901">
          <cell r="F901">
            <v>131266</v>
          </cell>
        </row>
        <row r="902">
          <cell r="F902">
            <v>129191</v>
          </cell>
        </row>
        <row r="903">
          <cell r="F903">
            <v>51495</v>
          </cell>
        </row>
        <row r="904">
          <cell r="F904">
            <v>55127</v>
          </cell>
        </row>
        <row r="905">
          <cell r="F905">
            <v>50198</v>
          </cell>
        </row>
        <row r="906">
          <cell r="F906">
            <v>1946</v>
          </cell>
        </row>
        <row r="907">
          <cell r="F907">
            <v>2929</v>
          </cell>
        </row>
        <row r="908">
          <cell r="F908">
            <v>3243</v>
          </cell>
        </row>
        <row r="909">
          <cell r="F909">
            <v>5188</v>
          </cell>
        </row>
        <row r="910">
          <cell r="F910">
            <v>577.04999999999995</v>
          </cell>
        </row>
        <row r="911">
          <cell r="F911">
            <v>491.99</v>
          </cell>
        </row>
        <row r="912">
          <cell r="F912">
            <v>91.06</v>
          </cell>
        </row>
        <row r="913">
          <cell r="F913">
            <v>483.053</v>
          </cell>
        </row>
        <row r="914">
          <cell r="F914">
            <v>339.69</v>
          </cell>
        </row>
        <row r="915">
          <cell r="F915">
            <v>305.87700000000001</v>
          </cell>
        </row>
        <row r="916">
          <cell r="F916">
            <v>384.14</v>
          </cell>
        </row>
        <row r="917">
          <cell r="F917">
            <v>477.13</v>
          </cell>
        </row>
        <row r="918">
          <cell r="F918">
            <v>15176</v>
          </cell>
        </row>
        <row r="919">
          <cell r="F919">
            <v>16862</v>
          </cell>
        </row>
        <row r="920">
          <cell r="F920">
            <v>19456</v>
          </cell>
        </row>
        <row r="921">
          <cell r="F921">
            <v>22051</v>
          </cell>
        </row>
        <row r="922">
          <cell r="F922">
            <v>125.97</v>
          </cell>
        </row>
        <row r="923">
          <cell r="F923">
            <v>78.290000000000006</v>
          </cell>
        </row>
        <row r="924">
          <cell r="F924">
            <v>35.409999999999997</v>
          </cell>
        </row>
        <row r="925">
          <cell r="F925">
            <v>35.409999999999997</v>
          </cell>
        </row>
        <row r="926">
          <cell r="F926">
            <v>31</v>
          </cell>
        </row>
        <row r="927">
          <cell r="F927">
            <v>91.834000000000003</v>
          </cell>
        </row>
        <row r="928">
          <cell r="F928">
            <v>169.18</v>
          </cell>
        </row>
        <row r="929">
          <cell r="F929">
            <v>6467</v>
          </cell>
        </row>
        <row r="930">
          <cell r="F930">
            <v>4059</v>
          </cell>
        </row>
        <row r="931">
          <cell r="F931">
            <v>5412</v>
          </cell>
        </row>
        <row r="932">
          <cell r="F932">
            <v>2706</v>
          </cell>
        </row>
        <row r="933">
          <cell r="F933">
            <v>6764</v>
          </cell>
        </row>
        <row r="934">
          <cell r="F934">
            <v>4059</v>
          </cell>
        </row>
        <row r="935">
          <cell r="F935">
            <v>151.24</v>
          </cell>
        </row>
        <row r="936">
          <cell r="F936">
            <v>1541.7</v>
          </cell>
        </row>
        <row r="937">
          <cell r="F937">
            <v>1541.7</v>
          </cell>
        </row>
        <row r="938">
          <cell r="F938">
            <v>1700.58</v>
          </cell>
        </row>
        <row r="939">
          <cell r="F939">
            <v>1700.58</v>
          </cell>
        </row>
        <row r="940">
          <cell r="F940">
            <v>946.88</v>
          </cell>
        </row>
        <row r="941">
          <cell r="F941">
            <v>830.14</v>
          </cell>
        </row>
        <row r="942">
          <cell r="F942">
            <v>583.70000000000005</v>
          </cell>
        </row>
        <row r="943">
          <cell r="F943">
            <v>583.70000000000005</v>
          </cell>
        </row>
        <row r="944">
          <cell r="F944">
            <v>583.70000000000005</v>
          </cell>
        </row>
        <row r="945">
          <cell r="F945">
            <v>583.70000000000005</v>
          </cell>
        </row>
        <row r="946">
          <cell r="F946">
            <v>583.70000000000005</v>
          </cell>
        </row>
        <row r="947">
          <cell r="F947">
            <v>664.12</v>
          </cell>
        </row>
        <row r="948">
          <cell r="F948">
            <v>6764</v>
          </cell>
        </row>
        <row r="949">
          <cell r="F949">
            <v>7441</v>
          </cell>
        </row>
        <row r="950">
          <cell r="F950">
            <v>1808</v>
          </cell>
        </row>
        <row r="951">
          <cell r="F951">
            <v>1808</v>
          </cell>
        </row>
        <row r="952">
          <cell r="F952">
            <v>1808</v>
          </cell>
        </row>
        <row r="953">
          <cell r="F953">
            <v>1808</v>
          </cell>
        </row>
        <row r="954">
          <cell r="F954">
            <v>2599</v>
          </cell>
        </row>
        <row r="955">
          <cell r="F955">
            <v>2599</v>
          </cell>
        </row>
        <row r="956">
          <cell r="F956">
            <v>2599</v>
          </cell>
        </row>
        <row r="957">
          <cell r="F957">
            <v>2599</v>
          </cell>
        </row>
        <row r="958">
          <cell r="F958">
            <v>1808</v>
          </cell>
        </row>
        <row r="959">
          <cell r="F959">
            <v>1808</v>
          </cell>
        </row>
        <row r="960">
          <cell r="F960">
            <v>1808</v>
          </cell>
        </row>
        <row r="961">
          <cell r="F961">
            <v>1808</v>
          </cell>
        </row>
        <row r="962">
          <cell r="F962">
            <v>2599</v>
          </cell>
        </row>
        <row r="963">
          <cell r="F963">
            <v>2599</v>
          </cell>
        </row>
        <row r="964">
          <cell r="F964">
            <v>2599</v>
          </cell>
        </row>
        <row r="965">
          <cell r="F965">
            <v>2599</v>
          </cell>
        </row>
        <row r="966">
          <cell r="F966">
            <v>1808</v>
          </cell>
        </row>
        <row r="967">
          <cell r="F967">
            <v>1808</v>
          </cell>
        </row>
        <row r="968">
          <cell r="F968">
            <v>1808</v>
          </cell>
        </row>
        <row r="969">
          <cell r="F969">
            <v>1808</v>
          </cell>
        </row>
        <row r="970">
          <cell r="F970">
            <v>1808</v>
          </cell>
        </row>
        <row r="971">
          <cell r="F971">
            <v>1808</v>
          </cell>
        </row>
        <row r="972">
          <cell r="F972">
            <v>1808</v>
          </cell>
        </row>
        <row r="973">
          <cell r="F973">
            <v>2599</v>
          </cell>
        </row>
        <row r="974">
          <cell r="F974">
            <v>2166</v>
          </cell>
        </row>
        <row r="975">
          <cell r="F975">
            <v>2166</v>
          </cell>
        </row>
        <row r="976">
          <cell r="F976">
            <v>2599</v>
          </cell>
        </row>
        <row r="977">
          <cell r="F977">
            <v>2599</v>
          </cell>
        </row>
        <row r="978">
          <cell r="F978">
            <v>2599</v>
          </cell>
        </row>
        <row r="979">
          <cell r="F979">
            <v>6571</v>
          </cell>
        </row>
        <row r="980">
          <cell r="F980">
            <v>6571</v>
          </cell>
        </row>
        <row r="981">
          <cell r="F981">
            <v>6571</v>
          </cell>
        </row>
        <row r="982">
          <cell r="F982">
            <v>6571</v>
          </cell>
        </row>
        <row r="983">
          <cell r="F983">
            <v>6571</v>
          </cell>
        </row>
        <row r="984">
          <cell r="F984">
            <v>6571</v>
          </cell>
        </row>
        <row r="985">
          <cell r="F985">
            <v>6571</v>
          </cell>
        </row>
        <row r="986">
          <cell r="F986">
            <v>6571</v>
          </cell>
        </row>
        <row r="987">
          <cell r="F987">
            <v>6571</v>
          </cell>
        </row>
        <row r="988">
          <cell r="F988">
            <v>6571</v>
          </cell>
        </row>
        <row r="989">
          <cell r="F989">
            <v>6571</v>
          </cell>
        </row>
        <row r="990">
          <cell r="F990">
            <v>6571</v>
          </cell>
        </row>
        <row r="991">
          <cell r="F991">
            <v>6571</v>
          </cell>
        </row>
        <row r="992">
          <cell r="F992">
            <v>6571</v>
          </cell>
        </row>
        <row r="993">
          <cell r="F993">
            <v>4354</v>
          </cell>
        </row>
        <row r="994">
          <cell r="F994">
            <v>4354</v>
          </cell>
        </row>
        <row r="995">
          <cell r="F995">
            <v>4354</v>
          </cell>
        </row>
        <row r="996">
          <cell r="F996">
            <v>4354</v>
          </cell>
        </row>
        <row r="997">
          <cell r="F997">
            <v>3958</v>
          </cell>
        </row>
        <row r="998">
          <cell r="F998">
            <v>3958</v>
          </cell>
        </row>
        <row r="999">
          <cell r="F999">
            <v>3958</v>
          </cell>
        </row>
        <row r="1000">
          <cell r="F1000">
            <v>3958</v>
          </cell>
        </row>
        <row r="1001">
          <cell r="F1001">
            <v>3958</v>
          </cell>
        </row>
        <row r="1002">
          <cell r="F1002">
            <v>2985</v>
          </cell>
        </row>
        <row r="1003">
          <cell r="F1003">
            <v>2985</v>
          </cell>
        </row>
        <row r="1004">
          <cell r="F1004">
            <v>2985</v>
          </cell>
        </row>
        <row r="1005">
          <cell r="F1005">
            <v>2985</v>
          </cell>
        </row>
        <row r="1006">
          <cell r="F1006">
            <v>1821</v>
          </cell>
        </row>
        <row r="1007">
          <cell r="F1007">
            <v>1821</v>
          </cell>
        </row>
        <row r="1008">
          <cell r="F1008">
            <v>1821</v>
          </cell>
        </row>
        <row r="1009">
          <cell r="F1009">
            <v>1821</v>
          </cell>
        </row>
        <row r="1010">
          <cell r="F1010">
            <v>3167</v>
          </cell>
        </row>
        <row r="1011">
          <cell r="F1011">
            <v>3167</v>
          </cell>
        </row>
        <row r="1012">
          <cell r="F1012">
            <v>3167</v>
          </cell>
        </row>
        <row r="1013">
          <cell r="F1013">
            <v>3167</v>
          </cell>
        </row>
        <row r="1014">
          <cell r="F1014">
            <v>3167</v>
          </cell>
        </row>
        <row r="1015">
          <cell r="F1015">
            <v>4090</v>
          </cell>
        </row>
        <row r="1016">
          <cell r="F1016">
            <v>4222</v>
          </cell>
        </row>
        <row r="1017">
          <cell r="F1017">
            <v>4222</v>
          </cell>
        </row>
        <row r="1018">
          <cell r="F1018">
            <v>38658</v>
          </cell>
        </row>
        <row r="1019">
          <cell r="F1019">
            <v>38658</v>
          </cell>
        </row>
        <row r="1020">
          <cell r="F1020">
            <v>20451</v>
          </cell>
        </row>
        <row r="1021">
          <cell r="F1021">
            <v>20451</v>
          </cell>
        </row>
        <row r="1022">
          <cell r="F1022">
            <v>20451</v>
          </cell>
        </row>
        <row r="1023">
          <cell r="F1023">
            <v>20451</v>
          </cell>
        </row>
        <row r="1024">
          <cell r="F1024">
            <v>13854</v>
          </cell>
        </row>
        <row r="1025">
          <cell r="F1025">
            <v>13854</v>
          </cell>
        </row>
        <row r="1026">
          <cell r="F1026">
            <v>13854</v>
          </cell>
        </row>
        <row r="1027">
          <cell r="F1027">
            <v>13854</v>
          </cell>
        </row>
        <row r="1028">
          <cell r="F1028">
            <v>33381</v>
          </cell>
        </row>
        <row r="1029">
          <cell r="F1029">
            <v>33381</v>
          </cell>
        </row>
        <row r="1030">
          <cell r="F1030">
            <v>33381</v>
          </cell>
        </row>
        <row r="1031">
          <cell r="F1031">
            <v>33381</v>
          </cell>
        </row>
        <row r="1032">
          <cell r="F1032">
            <v>7238</v>
          </cell>
        </row>
        <row r="1033">
          <cell r="F1033">
            <v>7400</v>
          </cell>
        </row>
        <row r="1034">
          <cell r="F1034">
            <v>14476</v>
          </cell>
        </row>
        <row r="1035">
          <cell r="F1035">
            <v>14801</v>
          </cell>
        </row>
        <row r="1036">
          <cell r="F1036">
            <v>14206</v>
          </cell>
        </row>
        <row r="1037">
          <cell r="F1037">
            <v>14611</v>
          </cell>
        </row>
        <row r="1038">
          <cell r="F1038">
            <v>9064</v>
          </cell>
        </row>
        <row r="1039">
          <cell r="F1039">
            <v>9606</v>
          </cell>
        </row>
        <row r="1040">
          <cell r="F1040">
            <v>9606</v>
          </cell>
        </row>
        <row r="1041">
          <cell r="F1041">
            <v>10526</v>
          </cell>
        </row>
        <row r="1042">
          <cell r="F1042">
            <v>14151</v>
          </cell>
        </row>
        <row r="1043">
          <cell r="F1043">
            <v>15004</v>
          </cell>
        </row>
        <row r="1044">
          <cell r="F1044">
            <v>8794</v>
          </cell>
        </row>
        <row r="1045">
          <cell r="F1045">
            <v>9470</v>
          </cell>
        </row>
        <row r="1046">
          <cell r="F1046">
            <v>6764</v>
          </cell>
        </row>
        <row r="1047">
          <cell r="F1047">
            <v>7441</v>
          </cell>
        </row>
        <row r="1048">
          <cell r="F1048">
            <v>10958</v>
          </cell>
        </row>
        <row r="1049">
          <cell r="F1049">
            <v>12582</v>
          </cell>
        </row>
        <row r="1050">
          <cell r="F1050">
            <v>8388</v>
          </cell>
        </row>
        <row r="1051">
          <cell r="F1051">
            <v>9606</v>
          </cell>
        </row>
        <row r="1052">
          <cell r="F1052">
            <v>17588</v>
          </cell>
        </row>
        <row r="1053">
          <cell r="F1053">
            <v>20294</v>
          </cell>
        </row>
        <row r="1054">
          <cell r="F1054">
            <v>24758</v>
          </cell>
        </row>
        <row r="1055">
          <cell r="F1055">
            <v>28140</v>
          </cell>
        </row>
        <row r="1056">
          <cell r="F1056">
            <v>18955</v>
          </cell>
        </row>
        <row r="1057">
          <cell r="F1057">
            <v>21790</v>
          </cell>
        </row>
        <row r="1058">
          <cell r="F1058">
            <v>19402</v>
          </cell>
        </row>
        <row r="1059">
          <cell r="F1059">
            <v>22984</v>
          </cell>
        </row>
        <row r="1060">
          <cell r="F1060">
            <v>30298</v>
          </cell>
        </row>
        <row r="1061">
          <cell r="F1061">
            <v>24776</v>
          </cell>
        </row>
        <row r="1062">
          <cell r="F1062">
            <v>897</v>
          </cell>
        </row>
        <row r="1063">
          <cell r="F1063">
            <v>897</v>
          </cell>
        </row>
        <row r="1064">
          <cell r="F1064">
            <v>897</v>
          </cell>
        </row>
        <row r="1065">
          <cell r="F1065">
            <v>897</v>
          </cell>
        </row>
        <row r="1066">
          <cell r="F1066">
            <v>1029</v>
          </cell>
        </row>
        <row r="1067">
          <cell r="F1067">
            <v>1029</v>
          </cell>
        </row>
        <row r="1068">
          <cell r="F1068">
            <v>1029</v>
          </cell>
        </row>
        <row r="1069">
          <cell r="F1069">
            <v>1029</v>
          </cell>
        </row>
        <row r="1070">
          <cell r="F1070">
            <v>1399</v>
          </cell>
        </row>
        <row r="1071">
          <cell r="F1071">
            <v>1399</v>
          </cell>
        </row>
        <row r="1072">
          <cell r="F1072">
            <v>1399</v>
          </cell>
        </row>
        <row r="1073">
          <cell r="F1073">
            <v>1399</v>
          </cell>
        </row>
        <row r="1074">
          <cell r="F1074">
            <v>1517</v>
          </cell>
        </row>
        <row r="1075">
          <cell r="F1075">
            <v>1517</v>
          </cell>
        </row>
        <row r="1076">
          <cell r="F1076">
            <v>1517</v>
          </cell>
        </row>
        <row r="1077">
          <cell r="F1077">
            <v>1517</v>
          </cell>
        </row>
        <row r="1078">
          <cell r="F1078">
            <v>1201</v>
          </cell>
        </row>
        <row r="1079">
          <cell r="F1079">
            <v>1201</v>
          </cell>
        </row>
        <row r="1080">
          <cell r="F1080">
            <v>1201</v>
          </cell>
        </row>
        <row r="1081">
          <cell r="F1081">
            <v>1340</v>
          </cell>
        </row>
        <row r="1082">
          <cell r="F1082">
            <v>1340</v>
          </cell>
        </row>
        <row r="1083">
          <cell r="F1083">
            <v>1340</v>
          </cell>
        </row>
        <row r="1084">
          <cell r="F1084">
            <v>1649</v>
          </cell>
        </row>
        <row r="1085">
          <cell r="F1085">
            <v>1649</v>
          </cell>
        </row>
        <row r="1086">
          <cell r="F1086">
            <v>1649</v>
          </cell>
        </row>
        <row r="1087">
          <cell r="F1087">
            <v>1781</v>
          </cell>
        </row>
        <row r="1088">
          <cell r="F1088">
            <v>1781</v>
          </cell>
        </row>
        <row r="1089">
          <cell r="F1089">
            <v>1781</v>
          </cell>
        </row>
        <row r="1090">
          <cell r="F1090">
            <v>1557</v>
          </cell>
        </row>
        <row r="1091">
          <cell r="F1091">
            <v>1557</v>
          </cell>
        </row>
        <row r="1092">
          <cell r="F1092">
            <v>1557</v>
          </cell>
        </row>
        <row r="1093">
          <cell r="F1093">
            <v>1874</v>
          </cell>
        </row>
        <row r="1094">
          <cell r="F1094">
            <v>1874</v>
          </cell>
        </row>
        <row r="1095">
          <cell r="F1095">
            <v>1874</v>
          </cell>
        </row>
        <row r="1096">
          <cell r="F1096">
            <v>1557</v>
          </cell>
        </row>
        <row r="1097">
          <cell r="F1097">
            <v>1781</v>
          </cell>
        </row>
        <row r="1098">
          <cell r="F1098">
            <v>1781</v>
          </cell>
        </row>
        <row r="1099">
          <cell r="F1099">
            <v>1781</v>
          </cell>
        </row>
        <row r="1100">
          <cell r="F1100">
            <v>20055</v>
          </cell>
        </row>
        <row r="1101">
          <cell r="F1101">
            <v>25069</v>
          </cell>
        </row>
        <row r="1102">
          <cell r="F1102">
            <v>36547</v>
          </cell>
        </row>
        <row r="1103">
          <cell r="F1103">
            <v>1764</v>
          </cell>
        </row>
        <row r="1104">
          <cell r="F1104">
            <v>1979</v>
          </cell>
        </row>
        <row r="1105">
          <cell r="F1105">
            <v>1979</v>
          </cell>
        </row>
        <row r="1106">
          <cell r="F1106">
            <v>2283</v>
          </cell>
        </row>
        <row r="1107">
          <cell r="F1107">
            <v>2507</v>
          </cell>
        </row>
        <row r="1108">
          <cell r="F1108">
            <v>2243</v>
          </cell>
        </row>
        <row r="1109">
          <cell r="F1109">
            <v>2375</v>
          </cell>
        </row>
        <row r="1110">
          <cell r="F1110">
            <v>2243</v>
          </cell>
        </row>
        <row r="1111">
          <cell r="F1111">
            <v>2375</v>
          </cell>
        </row>
        <row r="1112">
          <cell r="F1112">
            <v>2503</v>
          </cell>
        </row>
        <row r="1113">
          <cell r="F1113">
            <v>2909</v>
          </cell>
        </row>
        <row r="1114">
          <cell r="F1114">
            <v>5412</v>
          </cell>
        </row>
        <row r="1115">
          <cell r="F1115">
            <v>6088</v>
          </cell>
        </row>
        <row r="1116">
          <cell r="F1116">
            <v>4329</v>
          </cell>
        </row>
        <row r="1117">
          <cell r="F1117">
            <v>5141</v>
          </cell>
        </row>
        <row r="1118">
          <cell r="F1118">
            <v>3112</v>
          </cell>
        </row>
        <row r="1119">
          <cell r="F1119">
            <v>3788</v>
          </cell>
        </row>
        <row r="1120">
          <cell r="F1120">
            <v>2594</v>
          </cell>
        </row>
        <row r="1121">
          <cell r="F1121">
            <v>2854</v>
          </cell>
        </row>
        <row r="1122">
          <cell r="F1122">
            <v>2335</v>
          </cell>
        </row>
        <row r="1123">
          <cell r="F1123">
            <v>2594</v>
          </cell>
        </row>
        <row r="1124">
          <cell r="F1124">
            <v>2205</v>
          </cell>
        </row>
        <row r="1125">
          <cell r="F1125">
            <v>2335</v>
          </cell>
        </row>
        <row r="1126">
          <cell r="F1126">
            <v>2706</v>
          </cell>
        </row>
        <row r="1127">
          <cell r="F1127">
            <v>2570</v>
          </cell>
        </row>
        <row r="1128">
          <cell r="F1128">
            <v>2300</v>
          </cell>
        </row>
        <row r="1129">
          <cell r="F1129">
            <v>2165</v>
          </cell>
        </row>
        <row r="1130">
          <cell r="F1130">
            <v>6764</v>
          </cell>
        </row>
        <row r="1131">
          <cell r="F1131">
            <v>7441</v>
          </cell>
        </row>
        <row r="1132">
          <cell r="F1132">
            <v>5885</v>
          </cell>
        </row>
        <row r="1133">
          <cell r="F1133">
            <v>6764</v>
          </cell>
        </row>
        <row r="1134">
          <cell r="F1134">
            <v>5006</v>
          </cell>
        </row>
        <row r="1135">
          <cell r="F1135">
            <v>5682</v>
          </cell>
        </row>
        <row r="1136">
          <cell r="F1136">
            <v>3636</v>
          </cell>
        </row>
        <row r="1137">
          <cell r="F1137">
            <v>3632</v>
          </cell>
        </row>
        <row r="1138">
          <cell r="F1138">
            <v>1816</v>
          </cell>
        </row>
        <row r="1139">
          <cell r="F1139">
            <v>1816</v>
          </cell>
        </row>
        <row r="1140">
          <cell r="F1140">
            <v>1894</v>
          </cell>
        </row>
        <row r="1141">
          <cell r="F1141">
            <v>1894</v>
          </cell>
        </row>
        <row r="1142">
          <cell r="F1142">
            <v>1894</v>
          </cell>
        </row>
        <row r="1143">
          <cell r="F1143">
            <v>1894</v>
          </cell>
        </row>
        <row r="1144">
          <cell r="F1144">
            <v>1894</v>
          </cell>
        </row>
        <row r="1145">
          <cell r="F1145">
            <v>1894</v>
          </cell>
        </row>
        <row r="1146">
          <cell r="F1146">
            <v>11940</v>
          </cell>
        </row>
        <row r="1147">
          <cell r="F1147">
            <v>11940</v>
          </cell>
        </row>
        <row r="1148">
          <cell r="F1148">
            <v>27058</v>
          </cell>
        </row>
        <row r="1149">
          <cell r="F1149">
            <v>9470</v>
          </cell>
        </row>
        <row r="1150">
          <cell r="F1150">
            <v>23676</v>
          </cell>
        </row>
        <row r="1151">
          <cell r="F1151">
            <v>23676</v>
          </cell>
        </row>
        <row r="1152">
          <cell r="F1152">
            <v>4059</v>
          </cell>
        </row>
        <row r="1153">
          <cell r="F1153">
            <v>5141</v>
          </cell>
        </row>
        <row r="1154">
          <cell r="F1154">
            <v>5141</v>
          </cell>
        </row>
        <row r="1155">
          <cell r="F1155">
            <v>7847</v>
          </cell>
        </row>
        <row r="1156">
          <cell r="F1156">
            <v>7847</v>
          </cell>
        </row>
        <row r="1157">
          <cell r="F1157">
            <v>2134</v>
          </cell>
        </row>
        <row r="1158">
          <cell r="F1158">
            <v>2567</v>
          </cell>
        </row>
        <row r="1159">
          <cell r="F1159">
            <v>5970</v>
          </cell>
        </row>
        <row r="1160">
          <cell r="F1160">
            <v>7313</v>
          </cell>
        </row>
        <row r="1161">
          <cell r="F1161">
            <v>108232</v>
          </cell>
        </row>
        <row r="1162">
          <cell r="F1162">
            <v>135290</v>
          </cell>
        </row>
        <row r="1163">
          <cell r="F1163">
            <v>135290</v>
          </cell>
        </row>
        <row r="1164">
          <cell r="F1164">
            <v>14747</v>
          </cell>
        </row>
        <row r="1165">
          <cell r="F1165">
            <v>14747</v>
          </cell>
        </row>
        <row r="1166">
          <cell r="F1166">
            <v>14747</v>
          </cell>
        </row>
        <row r="1167">
          <cell r="F1167">
            <v>15558</v>
          </cell>
        </row>
        <row r="1168">
          <cell r="F1168">
            <v>15558</v>
          </cell>
        </row>
        <row r="1169">
          <cell r="F1169">
            <v>11364</v>
          </cell>
        </row>
        <row r="1170">
          <cell r="F1170">
            <v>10012</v>
          </cell>
        </row>
        <row r="1171">
          <cell r="F1171">
            <v>4059</v>
          </cell>
        </row>
        <row r="1172">
          <cell r="F1172">
            <v>4465</v>
          </cell>
        </row>
        <row r="1173">
          <cell r="F1173">
            <v>1353</v>
          </cell>
        </row>
        <row r="1174">
          <cell r="F1174">
            <v>676</v>
          </cell>
        </row>
        <row r="1175">
          <cell r="F1175">
            <v>1353</v>
          </cell>
        </row>
        <row r="1176">
          <cell r="F1176">
            <v>1624</v>
          </cell>
        </row>
        <row r="1177">
          <cell r="F1177">
            <v>1759</v>
          </cell>
        </row>
        <row r="1178">
          <cell r="F1178">
            <v>1894</v>
          </cell>
        </row>
        <row r="1179">
          <cell r="F1179">
            <v>10823</v>
          </cell>
        </row>
        <row r="1180">
          <cell r="F1180">
            <v>29764</v>
          </cell>
        </row>
        <row r="1181">
          <cell r="F1181">
            <v>0</v>
          </cell>
        </row>
        <row r="1182">
          <cell r="F1182">
            <v>415</v>
          </cell>
        </row>
        <row r="1183">
          <cell r="F1183">
            <v>493</v>
          </cell>
        </row>
        <row r="1184">
          <cell r="F1184">
            <v>415</v>
          </cell>
        </row>
        <row r="1185">
          <cell r="F1185">
            <v>493</v>
          </cell>
        </row>
        <row r="1186">
          <cell r="F1186">
            <v>246</v>
          </cell>
        </row>
        <row r="1187">
          <cell r="F1187">
            <v>272</v>
          </cell>
        </row>
        <row r="1188">
          <cell r="F1188">
            <v>1092</v>
          </cell>
        </row>
        <row r="1189">
          <cell r="F1189">
            <v>1353</v>
          </cell>
        </row>
        <row r="1190">
          <cell r="F1190">
            <v>6494</v>
          </cell>
        </row>
        <row r="1191">
          <cell r="F1191">
            <v>8659</v>
          </cell>
        </row>
        <row r="1192">
          <cell r="F1192">
            <v>6088</v>
          </cell>
        </row>
        <row r="1193">
          <cell r="F1193">
            <v>7306</v>
          </cell>
        </row>
        <row r="1194">
          <cell r="F1194">
            <v>5818</v>
          </cell>
        </row>
        <row r="1195">
          <cell r="F1195">
            <v>6900</v>
          </cell>
        </row>
        <row r="1196">
          <cell r="F1196">
            <v>649</v>
          </cell>
        </row>
        <row r="1197">
          <cell r="F1197">
            <v>830</v>
          </cell>
        </row>
        <row r="1198">
          <cell r="F1198">
            <v>1608</v>
          </cell>
        </row>
        <row r="1199">
          <cell r="F1199">
            <v>2075</v>
          </cell>
        </row>
        <row r="1200">
          <cell r="F1200">
            <v>2400</v>
          </cell>
        </row>
        <row r="1201">
          <cell r="F1201">
            <v>3113</v>
          </cell>
        </row>
        <row r="1202">
          <cell r="F1202">
            <v>1842</v>
          </cell>
        </row>
        <row r="1203">
          <cell r="F1203">
            <v>2166</v>
          </cell>
        </row>
        <row r="1204">
          <cell r="F1204">
            <v>272</v>
          </cell>
        </row>
        <row r="1205">
          <cell r="F1205">
            <v>934</v>
          </cell>
        </row>
        <row r="1206">
          <cell r="F1206">
            <v>1180</v>
          </cell>
        </row>
        <row r="1207">
          <cell r="F1207">
            <v>662</v>
          </cell>
        </row>
        <row r="1208">
          <cell r="F1208">
            <v>960</v>
          </cell>
        </row>
        <row r="1209">
          <cell r="F1209">
            <v>1116</v>
          </cell>
        </row>
        <row r="1210">
          <cell r="F1210">
            <v>1621</v>
          </cell>
        </row>
        <row r="1211">
          <cell r="F1211">
            <v>731</v>
          </cell>
        </row>
        <row r="1212">
          <cell r="F1212">
            <v>731</v>
          </cell>
        </row>
        <row r="1213">
          <cell r="F1213">
            <v>920</v>
          </cell>
        </row>
        <row r="1214">
          <cell r="F1214">
            <v>372</v>
          </cell>
        </row>
        <row r="1215">
          <cell r="F1215">
            <v>5074</v>
          </cell>
        </row>
        <row r="1216">
          <cell r="F1216">
            <v>6268</v>
          </cell>
        </row>
        <row r="1217">
          <cell r="F1217">
            <v>908</v>
          </cell>
        </row>
        <row r="1218">
          <cell r="F1218">
            <v>259</v>
          </cell>
        </row>
        <row r="1219">
          <cell r="F1219">
            <v>5445</v>
          </cell>
        </row>
        <row r="1220">
          <cell r="F1220">
            <v>1704</v>
          </cell>
        </row>
        <row r="1221">
          <cell r="F1221">
            <v>1967</v>
          </cell>
        </row>
        <row r="1222">
          <cell r="F1222">
            <v>3147</v>
          </cell>
        </row>
        <row r="1223">
          <cell r="F1223">
            <v>3409</v>
          </cell>
        </row>
        <row r="1224">
          <cell r="F1224">
            <v>3802</v>
          </cell>
        </row>
        <row r="1225">
          <cell r="F1225">
            <v>5900</v>
          </cell>
        </row>
        <row r="1226">
          <cell r="F1226">
            <v>4458</v>
          </cell>
        </row>
        <row r="1227">
          <cell r="F1227">
            <v>6293</v>
          </cell>
        </row>
        <row r="1228">
          <cell r="F1228">
            <v>3278</v>
          </cell>
        </row>
        <row r="1229">
          <cell r="F1229">
            <v>3933</v>
          </cell>
        </row>
        <row r="1230">
          <cell r="F1230">
            <v>4327</v>
          </cell>
        </row>
        <row r="1231">
          <cell r="F1231">
            <v>2360</v>
          </cell>
        </row>
        <row r="1232">
          <cell r="F1232">
            <v>2622</v>
          </cell>
        </row>
        <row r="1233">
          <cell r="F1233">
            <v>2098</v>
          </cell>
        </row>
        <row r="1234">
          <cell r="F1234">
            <v>1573</v>
          </cell>
        </row>
        <row r="1235">
          <cell r="F1235">
            <v>1967</v>
          </cell>
        </row>
        <row r="1236">
          <cell r="F1236">
            <v>3278</v>
          </cell>
        </row>
        <row r="1237">
          <cell r="F1237">
            <v>4589</v>
          </cell>
        </row>
        <row r="1238">
          <cell r="F1238">
            <v>2622</v>
          </cell>
        </row>
        <row r="1239">
          <cell r="F1239">
            <v>656</v>
          </cell>
        </row>
        <row r="1240">
          <cell r="F1240">
            <v>787</v>
          </cell>
        </row>
        <row r="1241">
          <cell r="F1241">
            <v>813</v>
          </cell>
        </row>
        <row r="1242">
          <cell r="F1242">
            <v>852</v>
          </cell>
        </row>
        <row r="1243">
          <cell r="F1243">
            <v>1246</v>
          </cell>
        </row>
        <row r="1244">
          <cell r="F1244">
            <v>1442</v>
          </cell>
        </row>
        <row r="1245">
          <cell r="F1245">
            <v>2622</v>
          </cell>
        </row>
        <row r="1246">
          <cell r="F1246">
            <v>3409</v>
          </cell>
        </row>
        <row r="1247">
          <cell r="F1247">
            <v>3802</v>
          </cell>
        </row>
        <row r="1248">
          <cell r="F1248">
            <v>4589</v>
          </cell>
        </row>
        <row r="1249">
          <cell r="F1249">
            <v>5376</v>
          </cell>
        </row>
        <row r="1250">
          <cell r="F1250">
            <v>6031</v>
          </cell>
        </row>
        <row r="1251">
          <cell r="F1251">
            <v>4982</v>
          </cell>
        </row>
        <row r="1252">
          <cell r="F1252">
            <v>5507</v>
          </cell>
        </row>
        <row r="1253">
          <cell r="F1253">
            <v>5900</v>
          </cell>
        </row>
        <row r="1254">
          <cell r="F1254">
            <v>7080</v>
          </cell>
        </row>
        <row r="1255">
          <cell r="F1255">
            <v>197</v>
          </cell>
        </row>
        <row r="1256">
          <cell r="F1256">
            <v>262</v>
          </cell>
        </row>
        <row r="1257">
          <cell r="F1257">
            <v>629</v>
          </cell>
        </row>
        <row r="1258">
          <cell r="F1258">
            <v>747</v>
          </cell>
        </row>
        <row r="1259">
          <cell r="F1259">
            <v>892</v>
          </cell>
        </row>
        <row r="1260">
          <cell r="F1260">
            <v>2045</v>
          </cell>
        </row>
        <row r="1261">
          <cell r="F1261">
            <v>2045</v>
          </cell>
        </row>
        <row r="1262">
          <cell r="F1262">
            <v>3671</v>
          </cell>
        </row>
        <row r="1263">
          <cell r="F1263">
            <v>6556</v>
          </cell>
        </row>
        <row r="1264">
          <cell r="F1264">
            <v>288</v>
          </cell>
        </row>
        <row r="1265">
          <cell r="F1265">
            <v>380</v>
          </cell>
        </row>
        <row r="1266">
          <cell r="F1266">
            <v>616</v>
          </cell>
        </row>
        <row r="1270">
          <cell r="F1270">
            <v>1573</v>
          </cell>
        </row>
        <row r="1271">
          <cell r="F1271">
            <v>1967</v>
          </cell>
        </row>
        <row r="1272">
          <cell r="F1272">
            <v>2753</v>
          </cell>
        </row>
        <row r="1273">
          <cell r="F1273">
            <v>328</v>
          </cell>
        </row>
        <row r="1274">
          <cell r="F1274">
            <v>393</v>
          </cell>
        </row>
        <row r="1275">
          <cell r="F1275">
            <v>328</v>
          </cell>
        </row>
        <row r="1276">
          <cell r="F1276">
            <v>328</v>
          </cell>
        </row>
        <row r="1277">
          <cell r="F1277">
            <v>1967</v>
          </cell>
        </row>
        <row r="1278">
          <cell r="F1278">
            <v>1967</v>
          </cell>
        </row>
        <row r="1279">
          <cell r="F1279">
            <v>2163</v>
          </cell>
        </row>
        <row r="1280">
          <cell r="F1280">
            <v>2163</v>
          </cell>
        </row>
        <row r="1281">
          <cell r="F1281">
            <v>1311</v>
          </cell>
        </row>
        <row r="1282">
          <cell r="F1282">
            <v>1967</v>
          </cell>
        </row>
        <row r="1283">
          <cell r="F1283">
            <v>2756</v>
          </cell>
        </row>
        <row r="1284">
          <cell r="F1284">
            <v>3626</v>
          </cell>
        </row>
        <row r="1285">
          <cell r="F1285">
            <v>6904</v>
          </cell>
        </row>
        <row r="1286">
          <cell r="F1286">
            <v>8285</v>
          </cell>
        </row>
        <row r="1287">
          <cell r="F1287">
            <v>20714</v>
          </cell>
        </row>
        <row r="1288">
          <cell r="F1288">
            <v>20714</v>
          </cell>
        </row>
        <row r="1289">
          <cell r="F1289">
            <v>20714</v>
          </cell>
        </row>
        <row r="1290">
          <cell r="F1290">
            <v>20714</v>
          </cell>
        </row>
        <row r="1291">
          <cell r="F1291">
            <v>2762</v>
          </cell>
        </row>
        <row r="1292">
          <cell r="F1292">
            <v>2348</v>
          </cell>
        </row>
        <row r="1293">
          <cell r="F1293">
            <v>30104</v>
          </cell>
        </row>
        <row r="1294">
          <cell r="F1294">
            <v>2209</v>
          </cell>
        </row>
        <row r="1295">
          <cell r="F1295">
            <v>2624</v>
          </cell>
        </row>
        <row r="1296">
          <cell r="F1296">
            <v>6076</v>
          </cell>
        </row>
        <row r="1297">
          <cell r="F1297">
            <v>1726</v>
          </cell>
        </row>
        <row r="1298">
          <cell r="F1298">
            <v>19873</v>
          </cell>
        </row>
        <row r="1299">
          <cell r="F1299">
            <v>23500</v>
          </cell>
        </row>
        <row r="1300">
          <cell r="F1300">
            <v>27561</v>
          </cell>
        </row>
        <row r="1301">
          <cell r="F1301">
            <v>4439.59</v>
          </cell>
        </row>
        <row r="1302">
          <cell r="F1302">
            <v>4439.59</v>
          </cell>
        </row>
        <row r="1303">
          <cell r="F1303">
            <v>4439.59</v>
          </cell>
        </row>
        <row r="1304">
          <cell r="F1304">
            <v>4690.92</v>
          </cell>
        </row>
        <row r="1305">
          <cell r="F1305">
            <v>5468.36</v>
          </cell>
        </row>
        <row r="1306">
          <cell r="F1306">
            <v>6296.9</v>
          </cell>
        </row>
        <row r="1307">
          <cell r="F1307">
            <v>5937.87</v>
          </cell>
        </row>
        <row r="1308">
          <cell r="F1308">
            <v>7594.95</v>
          </cell>
        </row>
        <row r="1309">
          <cell r="F1309">
            <v>8988</v>
          </cell>
        </row>
        <row r="1310">
          <cell r="F1310">
            <v>3646</v>
          </cell>
        </row>
        <row r="1311">
          <cell r="F1311">
            <v>1400.23</v>
          </cell>
        </row>
        <row r="1312">
          <cell r="F1312">
            <v>1518.99</v>
          </cell>
        </row>
        <row r="1313">
          <cell r="F1313">
            <v>1778.6</v>
          </cell>
        </row>
        <row r="1314">
          <cell r="F1314">
            <v>2188.73</v>
          </cell>
        </row>
        <row r="1315">
          <cell r="F1315">
            <v>1311.86</v>
          </cell>
        </row>
        <row r="1316">
          <cell r="F1316">
            <v>1339.47</v>
          </cell>
        </row>
        <row r="1317">
          <cell r="F1317">
            <v>1443.04</v>
          </cell>
        </row>
        <row r="1318">
          <cell r="F1318">
            <v>1415.42</v>
          </cell>
        </row>
        <row r="1319">
          <cell r="F1319">
            <v>1739.93</v>
          </cell>
        </row>
        <row r="1320">
          <cell r="F1320">
            <v>2209.44</v>
          </cell>
        </row>
        <row r="1321">
          <cell r="F1321">
            <v>1450</v>
          </cell>
        </row>
        <row r="1322">
          <cell r="F1322">
            <v>1712</v>
          </cell>
        </row>
        <row r="1323">
          <cell r="F1323">
            <v>2016</v>
          </cell>
        </row>
        <row r="1324">
          <cell r="F1324">
            <v>2389</v>
          </cell>
        </row>
        <row r="1325">
          <cell r="F1325">
            <v>2886</v>
          </cell>
        </row>
        <row r="1326">
          <cell r="F1326">
            <v>3646</v>
          </cell>
        </row>
        <row r="1327">
          <cell r="F1327">
            <v>1450</v>
          </cell>
        </row>
        <row r="1328">
          <cell r="F1328">
            <v>1712</v>
          </cell>
        </row>
        <row r="1329">
          <cell r="F1329">
            <v>2016</v>
          </cell>
        </row>
        <row r="1330">
          <cell r="F1330">
            <v>2389</v>
          </cell>
        </row>
        <row r="1331">
          <cell r="F1331">
            <v>2886</v>
          </cell>
        </row>
        <row r="1332">
          <cell r="F1332">
            <v>524</v>
          </cell>
        </row>
        <row r="1333">
          <cell r="F1333">
            <v>656</v>
          </cell>
        </row>
        <row r="1334">
          <cell r="F1334">
            <v>1049</v>
          </cell>
        </row>
        <row r="1335">
          <cell r="F1335">
            <v>1180</v>
          </cell>
        </row>
        <row r="1336">
          <cell r="F1336">
            <v>1442</v>
          </cell>
        </row>
        <row r="1337">
          <cell r="F1337">
            <v>1573</v>
          </cell>
        </row>
        <row r="1338">
          <cell r="F1338">
            <v>387</v>
          </cell>
        </row>
        <row r="1339">
          <cell r="F1339">
            <v>483</v>
          </cell>
        </row>
        <row r="1340">
          <cell r="F1340">
            <v>511</v>
          </cell>
        </row>
        <row r="1341">
          <cell r="F1341">
            <v>539</v>
          </cell>
        </row>
        <row r="1342">
          <cell r="F1342">
            <v>552</v>
          </cell>
        </row>
        <row r="1343">
          <cell r="F1343">
            <v>608</v>
          </cell>
        </row>
        <row r="1344">
          <cell r="F1344">
            <v>387</v>
          </cell>
        </row>
        <row r="1345">
          <cell r="F1345">
            <v>483</v>
          </cell>
        </row>
        <row r="1346">
          <cell r="F1346">
            <v>511</v>
          </cell>
        </row>
        <row r="1347">
          <cell r="F1347">
            <v>539</v>
          </cell>
        </row>
        <row r="1348">
          <cell r="F1348">
            <v>552</v>
          </cell>
        </row>
        <row r="1349">
          <cell r="F1349">
            <v>608</v>
          </cell>
        </row>
        <row r="1350">
          <cell r="F1350">
            <v>552</v>
          </cell>
        </row>
        <row r="1351">
          <cell r="F1351">
            <v>690</v>
          </cell>
        </row>
        <row r="1352">
          <cell r="F1352">
            <v>704</v>
          </cell>
        </row>
        <row r="1353">
          <cell r="F1353">
            <v>801</v>
          </cell>
        </row>
        <row r="1354">
          <cell r="F1354">
            <v>829</v>
          </cell>
        </row>
        <row r="1355">
          <cell r="F1355">
            <v>898</v>
          </cell>
        </row>
        <row r="1356">
          <cell r="F1356">
            <v>829</v>
          </cell>
        </row>
        <row r="1357">
          <cell r="F1357">
            <v>884</v>
          </cell>
        </row>
        <row r="1358">
          <cell r="F1358">
            <v>994</v>
          </cell>
        </row>
        <row r="1359">
          <cell r="F1359">
            <v>1091</v>
          </cell>
        </row>
        <row r="1360">
          <cell r="F1360">
            <v>1381</v>
          </cell>
        </row>
        <row r="1361">
          <cell r="F1361">
            <v>1519</v>
          </cell>
        </row>
        <row r="1362">
          <cell r="F1362">
            <v>829</v>
          </cell>
        </row>
        <row r="1363">
          <cell r="F1363">
            <v>884</v>
          </cell>
        </row>
        <row r="1364">
          <cell r="F1364">
            <v>994</v>
          </cell>
        </row>
        <row r="1365">
          <cell r="F1365">
            <v>1091</v>
          </cell>
        </row>
        <row r="1366">
          <cell r="F1366">
            <v>1381</v>
          </cell>
        </row>
        <row r="1367">
          <cell r="F1367">
            <v>1519</v>
          </cell>
        </row>
        <row r="1368">
          <cell r="F1368">
            <v>1243</v>
          </cell>
        </row>
        <row r="1369">
          <cell r="F1369">
            <v>1312</v>
          </cell>
        </row>
        <row r="1370">
          <cell r="F1370">
            <v>1491</v>
          </cell>
        </row>
        <row r="1371">
          <cell r="F1371">
            <v>1629</v>
          </cell>
        </row>
        <row r="1372">
          <cell r="F1372">
            <v>2071</v>
          </cell>
        </row>
        <row r="1373">
          <cell r="F1373">
            <v>2278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T42"/>
  <sheetViews>
    <sheetView showZeros="0" topLeftCell="A5" zoomScale="67" zoomScaleNormal="100" workbookViewId="0">
      <selection activeCell="O21" sqref="O21"/>
    </sheetView>
  </sheetViews>
  <sheetFormatPr defaultColWidth="8.765625" defaultRowHeight="15.6"/>
  <cols>
    <col min="1" max="1" width="3" style="116" customWidth="1"/>
    <col min="2" max="2" width="5.4609375" style="116" customWidth="1"/>
    <col min="3" max="3" width="19.765625" style="116" customWidth="1"/>
    <col min="4" max="4" width="5.921875" style="116" customWidth="1"/>
    <col min="5" max="5" width="6.07421875" style="116" customWidth="1"/>
    <col min="6" max="6" width="7" style="116" customWidth="1"/>
    <col min="7" max="8" width="6.921875" style="116" customWidth="1"/>
    <col min="9" max="9" width="6.69140625" style="116" customWidth="1"/>
    <col min="10" max="10" width="7.3828125" style="116" customWidth="1"/>
    <col min="11" max="11" width="7.3046875" style="117" customWidth="1"/>
    <col min="12" max="12" width="10.61328125" style="117" customWidth="1"/>
    <col min="13" max="13" width="7.3828125" style="117" customWidth="1"/>
    <col min="14" max="14" width="7.61328125" style="117" customWidth="1"/>
    <col min="15" max="15" width="8.07421875" style="117" customWidth="1"/>
    <col min="16" max="16" width="6.4609375" style="117" customWidth="1"/>
    <col min="17" max="17" width="8.3046875" style="117" customWidth="1"/>
    <col min="18" max="18" width="6.921875" style="117" customWidth="1"/>
    <col min="19" max="19" width="7.07421875" style="117" customWidth="1"/>
    <col min="20" max="20" width="8.3046875" style="116" customWidth="1"/>
    <col min="21" max="16384" width="8.765625" style="116"/>
  </cols>
  <sheetData>
    <row r="2" spans="2:20" ht="18" customHeight="1">
      <c r="B2" s="386" t="s">
        <v>114</v>
      </c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</row>
    <row r="3" spans="2:20" ht="18" customHeight="1">
      <c r="B3" s="387" t="s">
        <v>461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</row>
    <row r="4" spans="2:20" ht="16.2" thickBot="1"/>
    <row r="5" spans="2:20" ht="16.5" customHeight="1" thickTop="1">
      <c r="B5" s="390" t="s">
        <v>115</v>
      </c>
      <c r="C5" s="392" t="s">
        <v>116</v>
      </c>
      <c r="D5" s="394" t="s">
        <v>117</v>
      </c>
      <c r="E5" s="394" t="s">
        <v>118</v>
      </c>
      <c r="F5" s="388" t="s">
        <v>119</v>
      </c>
      <c r="G5" s="388"/>
      <c r="H5" s="389"/>
      <c r="I5" s="396" t="s">
        <v>123</v>
      </c>
      <c r="J5" s="389"/>
      <c r="K5" s="397" t="s">
        <v>125</v>
      </c>
      <c r="L5" s="389"/>
      <c r="M5" s="394" t="s">
        <v>126</v>
      </c>
      <c r="N5" s="394" t="s">
        <v>127</v>
      </c>
      <c r="O5" s="388" t="s">
        <v>128</v>
      </c>
      <c r="P5" s="388"/>
      <c r="Q5" s="388"/>
      <c r="R5" s="388"/>
      <c r="S5" s="388" t="s">
        <v>129</v>
      </c>
      <c r="T5" s="398"/>
    </row>
    <row r="6" spans="2:20" ht="16.2" thickBot="1">
      <c r="B6" s="391"/>
      <c r="C6" s="393"/>
      <c r="D6" s="395"/>
      <c r="E6" s="395"/>
      <c r="F6" s="118" t="s">
        <v>120</v>
      </c>
      <c r="G6" s="118" t="s">
        <v>121</v>
      </c>
      <c r="H6" s="119" t="s">
        <v>122</v>
      </c>
      <c r="I6" s="120" t="s">
        <v>124</v>
      </c>
      <c r="J6" s="119" t="s">
        <v>122</v>
      </c>
      <c r="K6" s="120" t="s">
        <v>124</v>
      </c>
      <c r="L6" s="119" t="s">
        <v>122</v>
      </c>
      <c r="M6" s="395"/>
      <c r="N6" s="395"/>
      <c r="O6" s="118" t="s">
        <v>2</v>
      </c>
      <c r="P6" s="118" t="s">
        <v>3</v>
      </c>
      <c r="Q6" s="118" t="s">
        <v>78</v>
      </c>
      <c r="R6" s="118" t="s">
        <v>109</v>
      </c>
      <c r="S6" s="118" t="s">
        <v>122</v>
      </c>
      <c r="T6" s="121" t="s">
        <v>130</v>
      </c>
    </row>
    <row r="7" spans="2:20">
      <c r="B7" s="122"/>
      <c r="C7" s="123" t="s">
        <v>152</v>
      </c>
      <c r="D7" s="124"/>
      <c r="E7" s="124"/>
      <c r="F7" s="124"/>
      <c r="G7" s="124"/>
      <c r="H7" s="125"/>
      <c r="I7" s="126"/>
      <c r="J7" s="125"/>
      <c r="K7" s="127"/>
      <c r="L7" s="128"/>
      <c r="M7" s="129"/>
      <c r="N7" s="129"/>
      <c r="O7" s="129"/>
      <c r="P7" s="129"/>
      <c r="Q7" s="129"/>
      <c r="R7" s="129"/>
      <c r="S7" s="129"/>
      <c r="T7" s="130"/>
    </row>
    <row r="8" spans="2:20">
      <c r="B8" s="131">
        <v>1</v>
      </c>
      <c r="C8" s="132" t="s">
        <v>131</v>
      </c>
      <c r="D8" s="133">
        <v>5.8</v>
      </c>
      <c r="E8" s="134">
        <v>4</v>
      </c>
      <c r="F8" s="135"/>
      <c r="G8" s="135"/>
      <c r="H8" s="136"/>
      <c r="I8" s="137">
        <v>26</v>
      </c>
      <c r="J8" s="136"/>
      <c r="K8" s="138"/>
      <c r="L8" s="136"/>
      <c r="M8" s="382"/>
      <c r="N8" s="155">
        <v>2000</v>
      </c>
      <c r="O8" s="382"/>
      <c r="P8" s="382"/>
      <c r="Q8" s="382"/>
      <c r="R8" s="382"/>
      <c r="S8" s="382"/>
      <c r="T8" s="142"/>
    </row>
    <row r="9" spans="2:20">
      <c r="B9" s="131">
        <v>2</v>
      </c>
      <c r="C9" s="132" t="s">
        <v>153</v>
      </c>
      <c r="D9" s="133">
        <v>4.5</v>
      </c>
      <c r="E9" s="133">
        <v>3.5</v>
      </c>
      <c r="F9" s="135"/>
      <c r="G9" s="135"/>
      <c r="H9" s="136"/>
      <c r="I9" s="137">
        <v>23</v>
      </c>
      <c r="J9" s="136"/>
      <c r="K9" s="138"/>
      <c r="L9" s="136"/>
      <c r="M9" s="382"/>
      <c r="N9" s="155">
        <v>1500</v>
      </c>
      <c r="O9" s="382"/>
      <c r="P9" s="382"/>
      <c r="Q9" s="382"/>
      <c r="R9" s="382"/>
      <c r="S9" s="382"/>
      <c r="T9" s="142"/>
    </row>
    <row r="10" spans="2:20">
      <c r="B10" s="131">
        <v>3</v>
      </c>
      <c r="C10" s="132" t="s">
        <v>132</v>
      </c>
      <c r="D10" s="133">
        <v>3.7</v>
      </c>
      <c r="E10" s="133">
        <v>1.5</v>
      </c>
      <c r="F10" s="135"/>
      <c r="G10" s="135"/>
      <c r="H10" s="136"/>
      <c r="I10" s="137">
        <v>26</v>
      </c>
      <c r="J10" s="136"/>
      <c r="K10" s="138"/>
      <c r="L10" s="136"/>
      <c r="M10" s="382"/>
      <c r="N10" s="155">
        <v>1000</v>
      </c>
      <c r="O10" s="382"/>
      <c r="P10" s="382"/>
      <c r="Q10" s="382"/>
      <c r="R10" s="382"/>
      <c r="S10" s="382"/>
      <c r="T10" s="142"/>
    </row>
    <row r="11" spans="2:20">
      <c r="B11" s="131">
        <v>4</v>
      </c>
      <c r="C11" s="132" t="s">
        <v>133</v>
      </c>
      <c r="D11" s="133">
        <v>2.8</v>
      </c>
      <c r="E11" s="133"/>
      <c r="F11" s="135"/>
      <c r="G11" s="135"/>
      <c r="H11" s="136"/>
      <c r="I11" s="137">
        <v>26</v>
      </c>
      <c r="J11" s="136"/>
      <c r="K11" s="138"/>
      <c r="L11" s="136"/>
      <c r="M11" s="382"/>
      <c r="N11" s="155">
        <v>500</v>
      </c>
      <c r="O11" s="382"/>
      <c r="P11" s="382"/>
      <c r="Q11" s="382"/>
      <c r="R11" s="382"/>
      <c r="S11" s="382"/>
      <c r="T11" s="142"/>
    </row>
    <row r="12" spans="2:20">
      <c r="B12" s="131">
        <v>5</v>
      </c>
      <c r="C12" s="132" t="s">
        <v>134</v>
      </c>
      <c r="D12" s="133">
        <v>2.6</v>
      </c>
      <c r="E12" s="133"/>
      <c r="F12" s="135"/>
      <c r="G12" s="135"/>
      <c r="H12" s="136"/>
      <c r="I12" s="137">
        <v>22</v>
      </c>
      <c r="J12" s="136"/>
      <c r="K12" s="138"/>
      <c r="L12" s="136"/>
      <c r="M12" s="382"/>
      <c r="N12" s="155">
        <v>500</v>
      </c>
      <c r="O12" s="382"/>
      <c r="P12" s="382"/>
      <c r="Q12" s="382"/>
      <c r="R12" s="382"/>
      <c r="S12" s="382"/>
      <c r="T12" s="142"/>
    </row>
    <row r="13" spans="2:20">
      <c r="B13" s="131">
        <v>6</v>
      </c>
      <c r="C13" s="132" t="s">
        <v>154</v>
      </c>
      <c r="D13" s="133">
        <v>2.6</v>
      </c>
      <c r="E13" s="133"/>
      <c r="F13" s="135"/>
      <c r="G13" s="135"/>
      <c r="H13" s="136"/>
      <c r="I13" s="137">
        <v>26</v>
      </c>
      <c r="J13" s="136"/>
      <c r="K13" s="138"/>
      <c r="L13" s="136"/>
      <c r="M13" s="382"/>
      <c r="N13" s="155">
        <v>500</v>
      </c>
      <c r="O13" s="382"/>
      <c r="P13" s="382"/>
      <c r="Q13" s="382"/>
      <c r="R13" s="382"/>
      <c r="S13" s="382"/>
      <c r="T13" s="142"/>
    </row>
    <row r="14" spans="2:20" s="152" customFormat="1">
      <c r="B14" s="143"/>
      <c r="C14" s="144" t="s">
        <v>135</v>
      </c>
      <c r="D14" s="145"/>
      <c r="E14" s="145"/>
      <c r="F14" s="145"/>
      <c r="G14" s="145"/>
      <c r="H14" s="146"/>
      <c r="I14" s="147"/>
      <c r="J14" s="148"/>
      <c r="K14" s="149"/>
      <c r="L14" s="148"/>
      <c r="M14" s="383"/>
      <c r="N14" s="383">
        <f t="shared" ref="N14" si="0">SUM(N8:N13)</f>
        <v>6000</v>
      </c>
      <c r="O14" s="383"/>
      <c r="P14" s="383"/>
      <c r="Q14" s="383"/>
      <c r="R14" s="383"/>
      <c r="S14" s="383"/>
      <c r="T14" s="151"/>
    </row>
    <row r="15" spans="2:20">
      <c r="B15" s="131"/>
      <c r="C15" s="153" t="s">
        <v>136</v>
      </c>
      <c r="D15" s="135"/>
      <c r="E15" s="135"/>
      <c r="F15" s="135"/>
      <c r="G15" s="135"/>
      <c r="H15" s="136"/>
      <c r="I15" s="140"/>
      <c r="J15" s="136"/>
      <c r="K15" s="138"/>
      <c r="L15" s="136"/>
      <c r="M15" s="382"/>
      <c r="N15" s="382"/>
      <c r="O15" s="382"/>
      <c r="P15" s="382"/>
      <c r="Q15" s="382"/>
      <c r="R15" s="382"/>
      <c r="S15" s="382"/>
      <c r="T15" s="142"/>
    </row>
    <row r="16" spans="2:20">
      <c r="B16" s="131">
        <v>1</v>
      </c>
      <c r="C16" s="154" t="s">
        <v>155</v>
      </c>
      <c r="D16" s="133">
        <v>3.6</v>
      </c>
      <c r="E16" s="133">
        <v>1.2</v>
      </c>
      <c r="F16" s="155">
        <f>SUM(F17:F20)</f>
        <v>600000</v>
      </c>
      <c r="G16" s="156">
        <v>1E-3</v>
      </c>
      <c r="H16" s="136"/>
      <c r="I16" s="137">
        <v>25</v>
      </c>
      <c r="J16" s="136"/>
      <c r="K16" s="138"/>
      <c r="L16" s="136"/>
      <c r="M16" s="382"/>
      <c r="N16" s="155">
        <v>1000</v>
      </c>
      <c r="O16" s="382"/>
      <c r="P16" s="382"/>
      <c r="Q16" s="382"/>
      <c r="R16" s="382"/>
      <c r="S16" s="382"/>
      <c r="T16" s="142"/>
    </row>
    <row r="17" spans="2:20">
      <c r="B17" s="131">
        <v>2</v>
      </c>
      <c r="C17" s="154" t="s">
        <v>137</v>
      </c>
      <c r="D17" s="133">
        <v>2.5</v>
      </c>
      <c r="E17" s="133"/>
      <c r="F17" s="155">
        <v>100000</v>
      </c>
      <c r="G17" s="156">
        <v>8.9999999999999993E-3</v>
      </c>
      <c r="H17" s="136"/>
      <c r="I17" s="137">
        <v>26</v>
      </c>
      <c r="J17" s="136"/>
      <c r="K17" s="138"/>
      <c r="L17" s="136"/>
      <c r="M17" s="382"/>
      <c r="N17" s="155">
        <v>1000</v>
      </c>
      <c r="O17" s="382"/>
      <c r="P17" s="382"/>
      <c r="Q17" s="382"/>
      <c r="R17" s="382"/>
      <c r="S17" s="382"/>
      <c r="T17" s="142"/>
    </row>
    <row r="18" spans="2:20">
      <c r="B18" s="131">
        <v>3</v>
      </c>
      <c r="C18" s="154" t="s">
        <v>138</v>
      </c>
      <c r="D18" s="133">
        <v>1.8</v>
      </c>
      <c r="E18" s="133"/>
      <c r="F18" s="155">
        <v>150000</v>
      </c>
      <c r="G18" s="156">
        <v>0.01</v>
      </c>
      <c r="H18" s="136"/>
      <c r="I18" s="137">
        <v>26</v>
      </c>
      <c r="J18" s="136"/>
      <c r="K18" s="138"/>
      <c r="L18" s="136"/>
      <c r="M18" s="382"/>
      <c r="N18" s="155">
        <v>1000</v>
      </c>
      <c r="O18" s="382"/>
      <c r="P18" s="382"/>
      <c r="Q18" s="382"/>
      <c r="R18" s="382"/>
      <c r="S18" s="382"/>
      <c r="T18" s="142"/>
    </row>
    <row r="19" spans="2:20">
      <c r="B19" s="131">
        <v>4</v>
      </c>
      <c r="C19" s="154" t="s">
        <v>139</v>
      </c>
      <c r="D19" s="133">
        <v>1.9</v>
      </c>
      <c r="E19" s="133"/>
      <c r="F19" s="155">
        <v>250000</v>
      </c>
      <c r="G19" s="156">
        <v>1.2E-2</v>
      </c>
      <c r="H19" s="136"/>
      <c r="I19" s="137">
        <v>21</v>
      </c>
      <c r="J19" s="136"/>
      <c r="K19" s="138"/>
      <c r="L19" s="136"/>
      <c r="M19" s="382"/>
      <c r="N19" s="155">
        <v>1000</v>
      </c>
      <c r="O19" s="382"/>
      <c r="P19" s="382"/>
      <c r="Q19" s="382"/>
      <c r="R19" s="382"/>
      <c r="S19" s="382"/>
      <c r="T19" s="142"/>
    </row>
    <row r="20" spans="2:20">
      <c r="B20" s="131">
        <v>5</v>
      </c>
      <c r="C20" s="154" t="s">
        <v>140</v>
      </c>
      <c r="D20" s="133">
        <v>1.7</v>
      </c>
      <c r="E20" s="133"/>
      <c r="F20" s="155">
        <v>100000</v>
      </c>
      <c r="G20" s="156">
        <v>1.0999999999999999E-2</v>
      </c>
      <c r="H20" s="136"/>
      <c r="I20" s="137">
        <v>26</v>
      </c>
      <c r="J20" s="136"/>
      <c r="K20" s="138"/>
      <c r="L20" s="136"/>
      <c r="M20" s="382"/>
      <c r="N20" s="155">
        <v>1000</v>
      </c>
      <c r="O20" s="382"/>
      <c r="P20" s="382"/>
      <c r="Q20" s="382"/>
      <c r="R20" s="382"/>
      <c r="S20" s="382"/>
      <c r="T20" s="142"/>
    </row>
    <row r="21" spans="2:20" s="152" customFormat="1">
      <c r="B21" s="143"/>
      <c r="C21" s="144" t="s">
        <v>135</v>
      </c>
      <c r="D21" s="145"/>
      <c r="E21" s="145"/>
      <c r="F21" s="145"/>
      <c r="G21" s="145"/>
      <c r="H21" s="148"/>
      <c r="I21" s="157"/>
      <c r="J21" s="148"/>
      <c r="K21" s="149"/>
      <c r="L21" s="148"/>
      <c r="M21" s="383"/>
      <c r="N21" s="383">
        <f t="shared" ref="N21" si="1">SUM(N16:N20)</f>
        <v>5000</v>
      </c>
      <c r="O21" s="383"/>
      <c r="P21" s="383"/>
      <c r="Q21" s="383"/>
      <c r="R21" s="383"/>
      <c r="S21" s="383"/>
      <c r="T21" s="151"/>
    </row>
    <row r="22" spans="2:20">
      <c r="B22" s="131"/>
      <c r="C22" s="153" t="s">
        <v>141</v>
      </c>
      <c r="D22" s="135"/>
      <c r="E22" s="135"/>
      <c r="F22" s="135"/>
      <c r="G22" s="135"/>
      <c r="H22" s="136"/>
      <c r="I22" s="140"/>
      <c r="J22" s="136"/>
      <c r="K22" s="138"/>
      <c r="L22" s="136"/>
      <c r="M22" s="382"/>
      <c r="N22" s="382"/>
      <c r="O22" s="382"/>
      <c r="P22" s="382"/>
      <c r="Q22" s="382"/>
      <c r="R22" s="382"/>
      <c r="S22" s="382"/>
      <c r="T22" s="142"/>
    </row>
    <row r="23" spans="2:20">
      <c r="B23" s="131">
        <v>1</v>
      </c>
      <c r="C23" s="158" t="s">
        <v>142</v>
      </c>
      <c r="D23" s="159">
        <v>4.5999999999999996</v>
      </c>
      <c r="E23" s="159">
        <v>1.5</v>
      </c>
      <c r="F23" s="159"/>
      <c r="G23" s="159"/>
      <c r="H23" s="136"/>
      <c r="I23" s="160">
        <v>26</v>
      </c>
      <c r="J23" s="136"/>
      <c r="K23" s="138"/>
      <c r="L23" s="136"/>
      <c r="M23" s="382"/>
      <c r="N23" s="385">
        <v>1000</v>
      </c>
      <c r="O23" s="382"/>
      <c r="P23" s="382"/>
      <c r="Q23" s="382"/>
      <c r="R23" s="382"/>
      <c r="S23" s="382"/>
      <c r="T23" s="142"/>
    </row>
    <row r="24" spans="2:20">
      <c r="B24" s="131">
        <v>2</v>
      </c>
      <c r="C24" s="158" t="s">
        <v>143</v>
      </c>
      <c r="D24" s="159">
        <v>3.7</v>
      </c>
      <c r="E24" s="159">
        <v>1.2</v>
      </c>
      <c r="F24" s="159"/>
      <c r="G24" s="159"/>
      <c r="H24" s="136"/>
      <c r="I24" s="160">
        <v>23</v>
      </c>
      <c r="J24" s="136"/>
      <c r="K24" s="138"/>
      <c r="L24" s="136"/>
      <c r="M24" s="382"/>
      <c r="N24" s="385">
        <v>1000</v>
      </c>
      <c r="O24" s="382"/>
      <c r="P24" s="382"/>
      <c r="Q24" s="382"/>
      <c r="R24" s="382"/>
      <c r="S24" s="382"/>
      <c r="T24" s="142"/>
    </row>
    <row r="25" spans="2:20" s="152" customFormat="1">
      <c r="B25" s="143"/>
      <c r="C25" s="144" t="s">
        <v>135</v>
      </c>
      <c r="D25" s="162"/>
      <c r="E25" s="162"/>
      <c r="F25" s="162"/>
      <c r="G25" s="162"/>
      <c r="H25" s="146"/>
      <c r="I25" s="163"/>
      <c r="J25" s="148"/>
      <c r="K25" s="149"/>
      <c r="L25" s="148"/>
      <c r="M25" s="383"/>
      <c r="N25" s="383">
        <f t="shared" ref="N25" si="2">SUM(N23:N24)</f>
        <v>2000</v>
      </c>
      <c r="O25" s="383"/>
      <c r="P25" s="383"/>
      <c r="Q25" s="383"/>
      <c r="R25" s="383"/>
      <c r="S25" s="383"/>
      <c r="T25" s="151"/>
    </row>
    <row r="26" spans="2:20">
      <c r="B26" s="131">
        <v>3</v>
      </c>
      <c r="C26" s="158" t="s">
        <v>156</v>
      </c>
      <c r="D26" s="159">
        <v>1.5</v>
      </c>
      <c r="E26" s="135"/>
      <c r="F26" s="161">
        <v>2200</v>
      </c>
      <c r="G26" s="159">
        <v>0.5</v>
      </c>
      <c r="H26" s="136"/>
      <c r="I26" s="160">
        <v>26</v>
      </c>
      <c r="J26" s="136"/>
      <c r="K26" s="138"/>
      <c r="L26" s="136"/>
      <c r="M26" s="382"/>
      <c r="N26" s="385">
        <v>500</v>
      </c>
      <c r="O26" s="382"/>
      <c r="P26" s="382"/>
      <c r="Q26" s="382"/>
      <c r="R26" s="382"/>
      <c r="S26" s="382"/>
      <c r="T26" s="142"/>
    </row>
    <row r="27" spans="2:20">
      <c r="B27" s="131">
        <v>4</v>
      </c>
      <c r="C27" s="158" t="s">
        <v>144</v>
      </c>
      <c r="D27" s="159">
        <v>1.7</v>
      </c>
      <c r="E27" s="135"/>
      <c r="F27" s="161">
        <v>2500</v>
      </c>
      <c r="G27" s="159">
        <v>0.5</v>
      </c>
      <c r="H27" s="136"/>
      <c r="I27" s="160">
        <v>20</v>
      </c>
      <c r="J27" s="136"/>
      <c r="K27" s="138"/>
      <c r="L27" s="136"/>
      <c r="M27" s="382"/>
      <c r="N27" s="385">
        <v>500</v>
      </c>
      <c r="O27" s="382"/>
      <c r="P27" s="382"/>
      <c r="Q27" s="382"/>
      <c r="R27" s="382"/>
      <c r="S27" s="382"/>
      <c r="T27" s="142"/>
    </row>
    <row r="28" spans="2:20">
      <c r="B28" s="131">
        <v>5</v>
      </c>
      <c r="C28" s="158" t="s">
        <v>157</v>
      </c>
      <c r="D28" s="159">
        <v>2.1</v>
      </c>
      <c r="E28" s="135"/>
      <c r="F28" s="161">
        <v>2000</v>
      </c>
      <c r="G28" s="159">
        <v>0.5</v>
      </c>
      <c r="H28" s="136"/>
      <c r="I28" s="160">
        <v>26</v>
      </c>
      <c r="J28" s="136"/>
      <c r="K28" s="138"/>
      <c r="L28" s="136"/>
      <c r="M28" s="382"/>
      <c r="N28" s="385">
        <v>500</v>
      </c>
      <c r="O28" s="382"/>
      <c r="P28" s="382"/>
      <c r="Q28" s="382"/>
      <c r="R28" s="382"/>
      <c r="S28" s="382"/>
      <c r="T28" s="142"/>
    </row>
    <row r="29" spans="2:20">
      <c r="B29" s="131">
        <v>6</v>
      </c>
      <c r="C29" s="158" t="s">
        <v>158</v>
      </c>
      <c r="D29" s="159">
        <v>2.5</v>
      </c>
      <c r="E29" s="135"/>
      <c r="F29" s="161">
        <v>2500</v>
      </c>
      <c r="G29" s="159">
        <v>0.5</v>
      </c>
      <c r="H29" s="136"/>
      <c r="I29" s="160">
        <v>26</v>
      </c>
      <c r="J29" s="136"/>
      <c r="K29" s="138"/>
      <c r="L29" s="136"/>
      <c r="M29" s="382"/>
      <c r="N29" s="385">
        <v>500</v>
      </c>
      <c r="O29" s="382"/>
      <c r="P29" s="382"/>
      <c r="Q29" s="382"/>
      <c r="R29" s="382"/>
      <c r="S29" s="382"/>
      <c r="T29" s="142"/>
    </row>
    <row r="30" spans="2:20">
      <c r="B30" s="131">
        <v>7</v>
      </c>
      <c r="C30" s="158" t="s">
        <v>145</v>
      </c>
      <c r="D30" s="159">
        <v>3.5</v>
      </c>
      <c r="E30" s="135"/>
      <c r="F30" s="161">
        <v>2300</v>
      </c>
      <c r="G30" s="159">
        <v>0.5</v>
      </c>
      <c r="H30" s="136"/>
      <c r="I30" s="160">
        <v>26</v>
      </c>
      <c r="J30" s="136"/>
      <c r="K30" s="138"/>
      <c r="L30" s="136"/>
      <c r="M30" s="382"/>
      <c r="N30" s="385">
        <v>500</v>
      </c>
      <c r="O30" s="382"/>
      <c r="P30" s="382"/>
      <c r="Q30" s="382"/>
      <c r="R30" s="382"/>
      <c r="S30" s="382"/>
      <c r="T30" s="142"/>
    </row>
    <row r="31" spans="2:20">
      <c r="B31" s="131">
        <v>8</v>
      </c>
      <c r="C31" s="158" t="s">
        <v>146</v>
      </c>
      <c r="D31" s="159">
        <v>1.7</v>
      </c>
      <c r="E31" s="135"/>
      <c r="F31" s="161">
        <v>4000</v>
      </c>
      <c r="G31" s="159">
        <v>0.6</v>
      </c>
      <c r="H31" s="136"/>
      <c r="I31" s="160">
        <v>25</v>
      </c>
      <c r="J31" s="136"/>
      <c r="K31" s="138"/>
      <c r="L31" s="136"/>
      <c r="M31" s="382"/>
      <c r="N31" s="385">
        <v>500</v>
      </c>
      <c r="O31" s="382"/>
      <c r="P31" s="382"/>
      <c r="Q31" s="382"/>
      <c r="R31" s="382"/>
      <c r="S31" s="382"/>
      <c r="T31" s="142"/>
    </row>
    <row r="32" spans="2:20">
      <c r="B32" s="131">
        <v>9</v>
      </c>
      <c r="C32" s="158" t="s">
        <v>147</v>
      </c>
      <c r="D32" s="159">
        <v>2.8</v>
      </c>
      <c r="E32" s="135"/>
      <c r="F32" s="161">
        <v>2900</v>
      </c>
      <c r="G32" s="159">
        <v>0.5</v>
      </c>
      <c r="H32" s="136"/>
      <c r="I32" s="160">
        <v>24</v>
      </c>
      <c r="J32" s="136"/>
      <c r="K32" s="138"/>
      <c r="L32" s="136"/>
      <c r="M32" s="382"/>
      <c r="N32" s="385">
        <v>500</v>
      </c>
      <c r="O32" s="382"/>
      <c r="P32" s="382"/>
      <c r="Q32" s="382"/>
      <c r="R32" s="382"/>
      <c r="S32" s="382"/>
      <c r="T32" s="142"/>
    </row>
    <row r="33" spans="2:20">
      <c r="B33" s="131">
        <v>10</v>
      </c>
      <c r="C33" s="158" t="s">
        <v>148</v>
      </c>
      <c r="D33" s="159">
        <v>1.8</v>
      </c>
      <c r="E33" s="135"/>
      <c r="F33" s="161">
        <v>2500</v>
      </c>
      <c r="G33" s="159">
        <v>0.5</v>
      </c>
      <c r="H33" s="136"/>
      <c r="I33" s="160">
        <v>26</v>
      </c>
      <c r="J33" s="136"/>
      <c r="K33" s="138"/>
      <c r="L33" s="136"/>
      <c r="M33" s="382"/>
      <c r="N33" s="385">
        <v>500</v>
      </c>
      <c r="O33" s="382"/>
      <c r="P33" s="382"/>
      <c r="Q33" s="382"/>
      <c r="R33" s="382"/>
      <c r="S33" s="382"/>
      <c r="T33" s="142"/>
    </row>
    <row r="34" spans="2:20">
      <c r="B34" s="131">
        <v>11</v>
      </c>
      <c r="C34" s="158" t="s">
        <v>149</v>
      </c>
      <c r="D34" s="159">
        <v>2.2999999999999998</v>
      </c>
      <c r="E34" s="135"/>
      <c r="F34" s="161">
        <v>5000</v>
      </c>
      <c r="G34" s="159">
        <v>0.6</v>
      </c>
      <c r="H34" s="136"/>
      <c r="I34" s="160">
        <v>26</v>
      </c>
      <c r="J34" s="136"/>
      <c r="K34" s="138"/>
      <c r="L34" s="136"/>
      <c r="M34" s="382"/>
      <c r="N34" s="385">
        <v>500</v>
      </c>
      <c r="O34" s="382"/>
      <c r="P34" s="382"/>
      <c r="Q34" s="382"/>
      <c r="R34" s="382"/>
      <c r="S34" s="382"/>
      <c r="T34" s="142"/>
    </row>
    <row r="35" spans="2:20">
      <c r="B35" s="131">
        <v>12</v>
      </c>
      <c r="C35" s="158" t="s">
        <v>150</v>
      </c>
      <c r="D35" s="159">
        <v>2.7</v>
      </c>
      <c r="E35" s="135"/>
      <c r="F35" s="161">
        <v>2500</v>
      </c>
      <c r="G35" s="159">
        <v>0.5</v>
      </c>
      <c r="H35" s="136"/>
      <c r="I35" s="160">
        <v>18</v>
      </c>
      <c r="J35" s="136"/>
      <c r="K35" s="138"/>
      <c r="L35" s="136"/>
      <c r="M35" s="382"/>
      <c r="N35" s="385">
        <v>500</v>
      </c>
      <c r="O35" s="382"/>
      <c r="P35" s="382"/>
      <c r="Q35" s="382"/>
      <c r="R35" s="382"/>
      <c r="S35" s="382"/>
      <c r="T35" s="142"/>
    </row>
    <row r="36" spans="2:20">
      <c r="B36" s="131">
        <v>13</v>
      </c>
      <c r="C36" s="158" t="s">
        <v>159</v>
      </c>
      <c r="D36" s="159">
        <v>2.4</v>
      </c>
      <c r="E36" s="135"/>
      <c r="F36" s="161">
        <v>2600</v>
      </c>
      <c r="G36" s="159">
        <v>0.5</v>
      </c>
      <c r="H36" s="136"/>
      <c r="I36" s="160">
        <v>26</v>
      </c>
      <c r="J36" s="136"/>
      <c r="K36" s="138"/>
      <c r="L36" s="136"/>
      <c r="M36" s="382"/>
      <c r="N36" s="385">
        <v>500</v>
      </c>
      <c r="O36" s="382"/>
      <c r="P36" s="382"/>
      <c r="Q36" s="382"/>
      <c r="R36" s="382"/>
      <c r="S36" s="382"/>
      <c r="T36" s="142"/>
    </row>
    <row r="37" spans="2:20" s="152" customFormat="1">
      <c r="B37" s="143"/>
      <c r="C37" s="144" t="s">
        <v>135</v>
      </c>
      <c r="D37" s="145"/>
      <c r="E37" s="145"/>
      <c r="F37" s="145"/>
      <c r="G37" s="145"/>
      <c r="H37" s="148"/>
      <c r="I37" s="147"/>
      <c r="J37" s="148"/>
      <c r="K37" s="149"/>
      <c r="L37" s="148"/>
      <c r="M37" s="383"/>
      <c r="N37" s="383">
        <f t="shared" ref="N37" si="3">SUM(N26:N36)</f>
        <v>5500</v>
      </c>
      <c r="O37" s="383"/>
      <c r="P37" s="383"/>
      <c r="Q37" s="383"/>
      <c r="R37" s="383"/>
      <c r="S37" s="383"/>
      <c r="T37" s="151"/>
    </row>
    <row r="38" spans="2:20" s="152" customFormat="1">
      <c r="B38" s="164"/>
      <c r="D38" s="165"/>
      <c r="E38" s="165"/>
      <c r="F38" s="165"/>
      <c r="G38" s="165"/>
      <c r="H38" s="166"/>
      <c r="I38" s="167"/>
      <c r="J38" s="166"/>
      <c r="K38" s="168"/>
      <c r="L38" s="166"/>
      <c r="M38" s="384"/>
      <c r="N38" s="384"/>
      <c r="O38" s="384"/>
      <c r="P38" s="384"/>
      <c r="Q38" s="384"/>
      <c r="R38" s="384"/>
      <c r="S38" s="384"/>
      <c r="T38" s="169"/>
    </row>
    <row r="39" spans="2:20" s="152" customFormat="1">
      <c r="B39" s="143"/>
      <c r="C39" s="144" t="s">
        <v>151</v>
      </c>
      <c r="D39" s="145"/>
      <c r="E39" s="145"/>
      <c r="F39" s="145"/>
      <c r="G39" s="145"/>
      <c r="H39" s="148"/>
      <c r="I39" s="150"/>
      <c r="J39" s="148"/>
      <c r="K39" s="150"/>
      <c r="L39" s="383"/>
      <c r="M39" s="383"/>
      <c r="N39" s="383">
        <f t="shared" ref="N39" si="4">N14+N21+N25+N37</f>
        <v>18500</v>
      </c>
      <c r="O39" s="145"/>
      <c r="P39" s="145"/>
      <c r="Q39" s="145"/>
      <c r="R39" s="145"/>
      <c r="S39" s="145"/>
      <c r="T39" s="151"/>
    </row>
    <row r="40" spans="2:20">
      <c r="B40" s="131"/>
      <c r="C40" s="135"/>
      <c r="D40" s="135"/>
      <c r="E40" s="135"/>
      <c r="F40" s="135"/>
      <c r="G40" s="135"/>
      <c r="H40" s="136"/>
      <c r="I40" s="140"/>
      <c r="J40" s="136"/>
      <c r="K40" s="138"/>
      <c r="L40" s="139"/>
      <c r="M40" s="141"/>
      <c r="N40" s="141"/>
      <c r="O40" s="141"/>
      <c r="P40" s="141"/>
      <c r="Q40" s="141"/>
      <c r="R40" s="141"/>
      <c r="S40" s="141"/>
      <c r="T40" s="142"/>
    </row>
    <row r="41" spans="2:20" ht="16.2" thickBot="1">
      <c r="B41" s="170"/>
      <c r="C41" s="171"/>
      <c r="D41" s="171"/>
      <c r="E41" s="171"/>
      <c r="F41" s="171"/>
      <c r="G41" s="171"/>
      <c r="H41" s="172"/>
      <c r="I41" s="173"/>
      <c r="J41" s="172"/>
      <c r="K41" s="174"/>
      <c r="L41" s="175"/>
      <c r="M41" s="176"/>
      <c r="N41" s="176"/>
      <c r="O41" s="176"/>
      <c r="P41" s="176"/>
      <c r="Q41" s="176"/>
      <c r="R41" s="176"/>
      <c r="S41" s="176"/>
      <c r="T41" s="177"/>
    </row>
    <row r="42" spans="2:20" ht="16.2" thickTop="1"/>
  </sheetData>
  <mergeCells count="13">
    <mergeCell ref="B2:T2"/>
    <mergeCell ref="B3:T3"/>
    <mergeCell ref="F5:H5"/>
    <mergeCell ref="B5:B6"/>
    <mergeCell ref="C5:C6"/>
    <mergeCell ref="D5:D6"/>
    <mergeCell ref="E5:E6"/>
    <mergeCell ref="I5:J5"/>
    <mergeCell ref="K5:L5"/>
    <mergeCell ref="O5:R5"/>
    <mergeCell ref="S5:T5"/>
    <mergeCell ref="M5:M6"/>
    <mergeCell ref="N5:N6"/>
  </mergeCells>
  <phoneticPr fontId="0" type="noConversion"/>
  <pageMargins left="0.42" right="0.18" top="0.27" bottom="0.28999999999999998" header="0.17" footer="0.17"/>
  <pageSetup paperSize="9" scale="70" orientation="landscape" horizontalDpi="300" verticalDpi="300" r:id="rId1"/>
  <headerFooter alignWithMargins="0">
    <oddFooter>&amp;C28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N16"/>
  <sheetViews>
    <sheetView topLeftCell="A4" workbookViewId="0">
      <selection activeCell="C10" sqref="C10"/>
    </sheetView>
  </sheetViews>
  <sheetFormatPr defaultColWidth="8.765625" defaultRowHeight="18"/>
  <cols>
    <col min="1" max="1" width="2.07421875" style="1" customWidth="1"/>
    <col min="2" max="2" width="3.69140625" style="1" customWidth="1"/>
    <col min="3" max="3" width="28.4609375" style="1" customWidth="1"/>
    <col min="4" max="4" width="8.921875" style="1" customWidth="1"/>
    <col min="5" max="5" width="8.3828125" style="1" customWidth="1"/>
    <col min="6" max="6" width="8.07421875" style="1" customWidth="1"/>
    <col min="7" max="7" width="10.23046875" style="1" customWidth="1"/>
    <col min="8" max="8" width="8.69140625" style="1" customWidth="1"/>
    <col min="9" max="9" width="8.921875" style="1" customWidth="1"/>
    <col min="10" max="10" width="8.3828125" style="1" customWidth="1"/>
    <col min="11" max="11" width="10.61328125" style="1" customWidth="1"/>
    <col min="12" max="12" width="8" style="1" customWidth="1"/>
    <col min="13" max="13" width="7.3828125" style="1" customWidth="1"/>
    <col min="14" max="16384" width="8.765625" style="1"/>
  </cols>
  <sheetData>
    <row r="2" spans="2:14" ht="42" customHeight="1">
      <c r="B2" s="400" t="s">
        <v>160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</row>
    <row r="3" spans="2:14" ht="27.75" customHeight="1">
      <c r="B3" s="399" t="s">
        <v>462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</row>
    <row r="4" spans="2:14" ht="18.600000000000001" thickBot="1"/>
    <row r="5" spans="2:14" s="60" customFormat="1" ht="19.5" customHeight="1" thickTop="1">
      <c r="B5" s="401" t="s">
        <v>115</v>
      </c>
      <c r="C5" s="403" t="s">
        <v>167</v>
      </c>
      <c r="D5" s="405" t="s">
        <v>311</v>
      </c>
      <c r="E5" s="405"/>
      <c r="F5" s="405"/>
      <c r="G5" s="405"/>
      <c r="H5" s="405" t="s">
        <v>312</v>
      </c>
      <c r="I5" s="405"/>
      <c r="J5" s="405"/>
      <c r="K5" s="405"/>
      <c r="L5" s="403" t="s">
        <v>172</v>
      </c>
      <c r="M5" s="406" t="s">
        <v>173</v>
      </c>
    </row>
    <row r="6" spans="2:14" s="60" customFormat="1" ht="34.799999999999997">
      <c r="B6" s="402"/>
      <c r="C6" s="404"/>
      <c r="D6" s="2" t="s">
        <v>168</v>
      </c>
      <c r="E6" s="2" t="s">
        <v>2</v>
      </c>
      <c r="F6" s="2" t="s">
        <v>169</v>
      </c>
      <c r="G6" s="2" t="s">
        <v>170</v>
      </c>
      <c r="H6" s="2" t="s">
        <v>171</v>
      </c>
      <c r="I6" s="2" t="s">
        <v>2</v>
      </c>
      <c r="J6" s="2" t="s">
        <v>3</v>
      </c>
      <c r="K6" s="2" t="s">
        <v>78</v>
      </c>
      <c r="L6" s="408"/>
      <c r="M6" s="407"/>
    </row>
    <row r="7" spans="2:14">
      <c r="B7" s="178">
        <v>1</v>
      </c>
      <c r="C7" s="179" t="s">
        <v>161</v>
      </c>
      <c r="D7" s="180"/>
      <c r="E7" s="181"/>
      <c r="F7" s="181"/>
      <c r="G7" s="180"/>
      <c r="H7" s="180"/>
      <c r="I7" s="181"/>
      <c r="J7" s="181"/>
      <c r="K7" s="181"/>
      <c r="L7" s="181"/>
      <c r="M7" s="182"/>
    </row>
    <row r="8" spans="2:14">
      <c r="B8" s="178">
        <v>2</v>
      </c>
      <c r="C8" s="179" t="s">
        <v>313</v>
      </c>
      <c r="D8" s="180"/>
      <c r="E8" s="181"/>
      <c r="F8" s="181"/>
      <c r="G8" s="180"/>
      <c r="H8" s="181"/>
      <c r="I8" s="181"/>
      <c r="J8" s="181"/>
      <c r="K8" s="181"/>
      <c r="L8" s="181"/>
      <c r="M8" s="182"/>
    </row>
    <row r="9" spans="2:14">
      <c r="B9" s="178">
        <v>3</v>
      </c>
      <c r="C9" s="179" t="s">
        <v>163</v>
      </c>
      <c r="D9" s="180"/>
      <c r="E9" s="181"/>
      <c r="F9" s="181"/>
      <c r="G9" s="180"/>
      <c r="H9" s="181"/>
      <c r="I9" s="181"/>
      <c r="J9" s="181"/>
      <c r="K9" s="181"/>
      <c r="L9" s="181"/>
      <c r="M9" s="182"/>
    </row>
    <row r="10" spans="2:14">
      <c r="B10" s="178">
        <v>4</v>
      </c>
      <c r="C10" s="179" t="s">
        <v>162</v>
      </c>
      <c r="D10" s="180"/>
      <c r="E10" s="181"/>
      <c r="F10" s="181"/>
      <c r="G10" s="180"/>
      <c r="H10" s="181"/>
      <c r="I10" s="181"/>
      <c r="J10" s="181"/>
      <c r="K10" s="181"/>
      <c r="L10" s="181"/>
      <c r="M10" s="182"/>
    </row>
    <row r="11" spans="2:14">
      <c r="B11" s="178">
        <v>5</v>
      </c>
      <c r="C11" s="179" t="s">
        <v>164</v>
      </c>
      <c r="D11" s="181"/>
      <c r="E11" s="180"/>
      <c r="F11" s="181"/>
      <c r="G11" s="180"/>
      <c r="H11" s="181"/>
      <c r="I11" s="181"/>
      <c r="J11" s="181"/>
      <c r="K11" s="181"/>
      <c r="L11" s="181"/>
      <c r="M11" s="182"/>
    </row>
    <row r="12" spans="2:14">
      <c r="B12" s="178">
        <v>6</v>
      </c>
      <c r="C12" s="179" t="s">
        <v>166</v>
      </c>
      <c r="D12" s="181"/>
      <c r="E12" s="181"/>
      <c r="F12" s="181"/>
      <c r="G12" s="180"/>
      <c r="H12" s="181"/>
      <c r="I12" s="181"/>
      <c r="J12" s="181"/>
      <c r="K12" s="181"/>
      <c r="L12" s="181"/>
      <c r="M12" s="182"/>
    </row>
    <row r="13" spans="2:14">
      <c r="B13" s="178">
        <v>7</v>
      </c>
      <c r="C13" s="179" t="s">
        <v>165</v>
      </c>
      <c r="D13" s="181"/>
      <c r="E13" s="181"/>
      <c r="F13" s="181"/>
      <c r="G13" s="181"/>
      <c r="H13" s="181"/>
      <c r="I13" s="181"/>
      <c r="J13" s="181"/>
      <c r="K13" s="181"/>
      <c r="L13" s="181"/>
      <c r="M13" s="182"/>
    </row>
    <row r="14" spans="2:14">
      <c r="B14" s="178"/>
      <c r="C14" s="183" t="s">
        <v>173</v>
      </c>
      <c r="D14" s="184"/>
      <c r="E14" s="184"/>
      <c r="F14" s="184"/>
      <c r="G14" s="185"/>
      <c r="H14" s="184"/>
      <c r="I14" s="184"/>
      <c r="J14" s="184"/>
      <c r="K14" s="184"/>
      <c r="L14" s="184"/>
      <c r="M14" s="186"/>
      <c r="N14" s="187"/>
    </row>
    <row r="15" spans="2:14" ht="18.600000000000001" thickBot="1">
      <c r="B15" s="188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90"/>
    </row>
    <row r="16" spans="2:14" ht="18.600000000000001" thickTop="1"/>
  </sheetData>
  <mergeCells count="8">
    <mergeCell ref="B3:M3"/>
    <mergeCell ref="B2:M2"/>
    <mergeCell ref="B5:B6"/>
    <mergeCell ref="C5:C6"/>
    <mergeCell ref="D5:G5"/>
    <mergeCell ref="M5:M6"/>
    <mergeCell ref="L5:L6"/>
    <mergeCell ref="H5:K5"/>
  </mergeCells>
  <phoneticPr fontId="11" type="noConversion"/>
  <pageMargins left="0.19" right="0.18" top="0.38" bottom="1" header="0.22" footer="0.5"/>
  <pageSetup paperSize="9" scale="95" orientation="landscape" horizontalDpi="300" verticalDpi="300" r:id="rId1"/>
  <headerFooter alignWithMargins="0">
    <oddFooter>&amp;C29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M53"/>
  <sheetViews>
    <sheetView zoomScale="85" zoomScaleNormal="85" workbookViewId="0">
      <selection activeCell="B4" sqref="B4:M4"/>
    </sheetView>
  </sheetViews>
  <sheetFormatPr defaultColWidth="8.765625" defaultRowHeight="18"/>
  <cols>
    <col min="1" max="1" width="1.3046875" style="1" customWidth="1"/>
    <col min="2" max="2" width="10.3828125" style="1" bestFit="1" customWidth="1"/>
    <col min="3" max="3" width="10.3046875" style="1" bestFit="1" customWidth="1"/>
    <col min="4" max="4" width="15.3828125" style="1" bestFit="1" customWidth="1"/>
    <col min="5" max="5" width="12.3046875" style="1" customWidth="1"/>
    <col min="6" max="6" width="9.921875" style="1" bestFit="1" customWidth="1"/>
    <col min="7" max="7" width="9.4609375" style="1" customWidth="1"/>
    <col min="8" max="8" width="9.69140625" style="1" bestFit="1" customWidth="1"/>
    <col min="9" max="9" width="10.3046875" style="1" customWidth="1"/>
    <col min="10" max="10" width="9.69140625" style="1" bestFit="1" customWidth="1"/>
    <col min="11" max="11" width="11.07421875" style="1" customWidth="1"/>
    <col min="12" max="12" width="10.921875" style="1" customWidth="1"/>
    <col min="13" max="13" width="9.4609375" style="1" customWidth="1"/>
    <col min="14" max="16384" width="8.765625" style="1"/>
  </cols>
  <sheetData>
    <row r="2" spans="1:13" ht="32.25" customHeight="1">
      <c r="B2" s="409" t="s">
        <v>79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</row>
    <row r="3" spans="1:13" ht="23.25" customHeight="1">
      <c r="B3" s="410" t="s">
        <v>463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</row>
    <row r="4" spans="1:13" ht="23.25" customHeight="1">
      <c r="B4" s="411" t="s">
        <v>457</v>
      </c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</row>
    <row r="5" spans="1:13" ht="30.75" customHeight="1">
      <c r="B5" s="411" t="s">
        <v>458</v>
      </c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</row>
    <row r="6" spans="1:13" s="191" customFormat="1" ht="23.25" customHeight="1">
      <c r="B6" s="191" t="s">
        <v>174</v>
      </c>
      <c r="D6" s="192"/>
      <c r="K6" s="191" t="s">
        <v>175</v>
      </c>
    </row>
    <row r="7" spans="1:13" s="191" customFormat="1" ht="8.25" customHeight="1" thickBot="1">
      <c r="D7" s="192"/>
    </row>
    <row r="8" spans="1:13" ht="26.25" customHeight="1" thickTop="1">
      <c r="B8" s="415" t="s">
        <v>80</v>
      </c>
      <c r="C8" s="412"/>
      <c r="D8" s="412" t="s">
        <v>81</v>
      </c>
      <c r="E8" s="412" t="s">
        <v>82</v>
      </c>
      <c r="F8" s="412" t="s">
        <v>83</v>
      </c>
      <c r="G8" s="412" t="s">
        <v>84</v>
      </c>
      <c r="H8" s="412"/>
      <c r="I8" s="412" t="s">
        <v>101</v>
      </c>
      <c r="J8" s="412"/>
      <c r="K8" s="412" t="s">
        <v>102</v>
      </c>
      <c r="L8" s="412"/>
      <c r="M8" s="413" t="s">
        <v>85</v>
      </c>
    </row>
    <row r="9" spans="1:13" ht="34.5" customHeight="1">
      <c r="B9" s="193" t="s">
        <v>86</v>
      </c>
      <c r="C9" s="194" t="s">
        <v>87</v>
      </c>
      <c r="D9" s="416"/>
      <c r="E9" s="416"/>
      <c r="F9" s="416"/>
      <c r="G9" s="194" t="s">
        <v>88</v>
      </c>
      <c r="H9" s="194" t="s">
        <v>89</v>
      </c>
      <c r="I9" s="194" t="s">
        <v>88</v>
      </c>
      <c r="J9" s="194" t="s">
        <v>89</v>
      </c>
      <c r="K9" s="194" t="s">
        <v>88</v>
      </c>
      <c r="L9" s="194" t="s">
        <v>89</v>
      </c>
      <c r="M9" s="414"/>
    </row>
    <row r="10" spans="1:13" ht="26.25" customHeight="1">
      <c r="B10" s="195" t="s">
        <v>90</v>
      </c>
      <c r="C10" s="196" t="s">
        <v>91</v>
      </c>
      <c r="D10" s="196" t="s">
        <v>92</v>
      </c>
      <c r="E10" s="196" t="s">
        <v>93</v>
      </c>
      <c r="F10" s="196">
        <v>1</v>
      </c>
      <c r="G10" s="196">
        <v>2</v>
      </c>
      <c r="H10" s="196" t="s">
        <v>94</v>
      </c>
      <c r="I10" s="196">
        <v>4</v>
      </c>
      <c r="J10" s="196" t="s">
        <v>95</v>
      </c>
      <c r="K10" s="196">
        <v>6</v>
      </c>
      <c r="L10" s="196" t="s">
        <v>96</v>
      </c>
      <c r="M10" s="197" t="s">
        <v>97</v>
      </c>
    </row>
    <row r="11" spans="1:13" ht="26.25" customHeight="1">
      <c r="B11" s="198"/>
      <c r="C11" s="199"/>
      <c r="D11" s="200" t="s">
        <v>98</v>
      </c>
      <c r="E11" s="200"/>
      <c r="F11" s="201"/>
      <c r="G11" s="200"/>
      <c r="H11" s="200"/>
      <c r="I11" s="200"/>
      <c r="J11" s="200"/>
      <c r="K11" s="202"/>
      <c r="L11" s="202"/>
      <c r="M11" s="203"/>
    </row>
    <row r="12" spans="1:13" s="210" customFormat="1" ht="26.25" customHeight="1">
      <c r="A12" s="1"/>
      <c r="B12" s="204"/>
      <c r="C12" s="205"/>
      <c r="D12" s="206" t="s">
        <v>106</v>
      </c>
      <c r="E12" s="207"/>
      <c r="F12" s="207"/>
      <c r="G12" s="207"/>
      <c r="H12" s="207"/>
      <c r="I12" s="207"/>
      <c r="J12" s="207"/>
      <c r="K12" s="208"/>
      <c r="L12" s="208"/>
      <c r="M12" s="209"/>
    </row>
    <row r="13" spans="1:13" ht="26.25" customHeight="1">
      <c r="B13" s="211"/>
      <c r="C13" s="212"/>
      <c r="D13" s="206" t="s">
        <v>100</v>
      </c>
      <c r="E13" s="213"/>
      <c r="F13" s="214"/>
      <c r="G13" s="213"/>
      <c r="H13" s="213"/>
      <c r="I13" s="213"/>
      <c r="J13" s="215"/>
      <c r="K13" s="213"/>
      <c r="L13" s="213"/>
      <c r="M13" s="216"/>
    </row>
    <row r="14" spans="1:13" ht="26.25" customHeight="1">
      <c r="B14" s="217"/>
      <c r="C14" s="218"/>
      <c r="D14" s="219"/>
      <c r="E14" s="219"/>
      <c r="F14" s="213"/>
      <c r="G14" s="213"/>
      <c r="H14" s="213"/>
      <c r="I14" s="213"/>
      <c r="J14" s="213"/>
      <c r="K14" s="213"/>
      <c r="L14" s="213"/>
      <c r="M14" s="216"/>
    </row>
    <row r="15" spans="1:13" ht="26.25" customHeight="1">
      <c r="B15" s="198"/>
      <c r="C15" s="199"/>
      <c r="D15" s="200" t="s">
        <v>99</v>
      </c>
      <c r="E15" s="200"/>
      <c r="F15" s="202"/>
      <c r="G15" s="202"/>
      <c r="H15" s="202"/>
      <c r="I15" s="220"/>
      <c r="J15" s="220"/>
      <c r="K15" s="220"/>
      <c r="L15" s="220"/>
      <c r="M15" s="203"/>
    </row>
    <row r="16" spans="1:13" ht="26.25" customHeight="1" thickBot="1">
      <c r="B16" s="188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90"/>
    </row>
    <row r="17" spans="1:13" ht="18.600000000000001" thickTop="1"/>
    <row r="19" spans="1:13" ht="32.25" customHeight="1">
      <c r="B19" s="409" t="s">
        <v>79</v>
      </c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</row>
    <row r="20" spans="1:13" ht="23.25" customHeight="1">
      <c r="B20" s="410" t="s">
        <v>463</v>
      </c>
      <c r="C20" s="410"/>
      <c r="D20" s="410"/>
      <c r="E20" s="410"/>
      <c r="F20" s="410"/>
      <c r="G20" s="410"/>
      <c r="H20" s="410"/>
      <c r="I20" s="410"/>
      <c r="J20" s="410"/>
      <c r="K20" s="410"/>
      <c r="L20" s="410"/>
      <c r="M20" s="410"/>
    </row>
    <row r="21" spans="1:13" ht="23.25" customHeight="1">
      <c r="B21" s="411" t="s">
        <v>459</v>
      </c>
      <c r="C21" s="411"/>
      <c r="D21" s="411"/>
      <c r="E21" s="411"/>
      <c r="F21" s="411"/>
      <c r="G21" s="411"/>
      <c r="H21" s="411"/>
      <c r="I21" s="411"/>
      <c r="J21" s="411"/>
      <c r="K21" s="411"/>
      <c r="L21" s="411"/>
      <c r="M21" s="411"/>
    </row>
    <row r="22" spans="1:13" ht="30.75" customHeight="1">
      <c r="B22" s="411" t="s">
        <v>458</v>
      </c>
      <c r="C22" s="411"/>
      <c r="D22" s="411"/>
      <c r="E22" s="411"/>
      <c r="F22" s="411"/>
      <c r="G22" s="411"/>
      <c r="H22" s="411"/>
      <c r="I22" s="411"/>
      <c r="J22" s="411"/>
      <c r="K22" s="411"/>
      <c r="L22" s="411"/>
      <c r="M22" s="411"/>
    </row>
    <row r="23" spans="1:13" s="191" customFormat="1" ht="23.25" customHeight="1">
      <c r="B23" s="191" t="s">
        <v>174</v>
      </c>
      <c r="D23" s="192"/>
      <c r="K23" s="191" t="s">
        <v>175</v>
      </c>
    </row>
    <row r="24" spans="1:13" s="60" customFormat="1" ht="17.25" customHeight="1" thickBot="1">
      <c r="D24" s="221"/>
    </row>
    <row r="25" spans="1:13" ht="18.600000000000001" thickTop="1">
      <c r="B25" s="415" t="s">
        <v>80</v>
      </c>
      <c r="C25" s="412"/>
      <c r="D25" s="412" t="s">
        <v>81</v>
      </c>
      <c r="E25" s="412" t="s">
        <v>82</v>
      </c>
      <c r="F25" s="412" t="s">
        <v>83</v>
      </c>
      <c r="G25" s="412" t="s">
        <v>84</v>
      </c>
      <c r="H25" s="412"/>
      <c r="I25" s="412" t="s">
        <v>101</v>
      </c>
      <c r="J25" s="412"/>
      <c r="K25" s="412" t="s">
        <v>102</v>
      </c>
      <c r="L25" s="412"/>
      <c r="M25" s="417" t="s">
        <v>85</v>
      </c>
    </row>
    <row r="26" spans="1:13">
      <c r="B26" s="193" t="s">
        <v>86</v>
      </c>
      <c r="C26" s="194" t="s">
        <v>87</v>
      </c>
      <c r="D26" s="416"/>
      <c r="E26" s="416"/>
      <c r="F26" s="416"/>
      <c r="G26" s="194" t="s">
        <v>88</v>
      </c>
      <c r="H26" s="194" t="s">
        <v>89</v>
      </c>
      <c r="I26" s="194" t="s">
        <v>88</v>
      </c>
      <c r="J26" s="194" t="s">
        <v>89</v>
      </c>
      <c r="K26" s="194" t="s">
        <v>88</v>
      </c>
      <c r="L26" s="194" t="s">
        <v>89</v>
      </c>
      <c r="M26" s="418"/>
    </row>
    <row r="27" spans="1:13" ht="26.25" customHeight="1">
      <c r="B27" s="195" t="s">
        <v>90</v>
      </c>
      <c r="C27" s="196" t="s">
        <v>91</v>
      </c>
      <c r="D27" s="196" t="s">
        <v>92</v>
      </c>
      <c r="E27" s="196" t="s">
        <v>93</v>
      </c>
      <c r="F27" s="196">
        <v>1</v>
      </c>
      <c r="G27" s="196">
        <v>2</v>
      </c>
      <c r="H27" s="196" t="s">
        <v>94</v>
      </c>
      <c r="I27" s="196">
        <v>4</v>
      </c>
      <c r="J27" s="196" t="s">
        <v>95</v>
      </c>
      <c r="K27" s="196">
        <v>6</v>
      </c>
      <c r="L27" s="196" t="s">
        <v>96</v>
      </c>
      <c r="M27" s="197" t="s">
        <v>97</v>
      </c>
    </row>
    <row r="28" spans="1:13" ht="26.25" customHeight="1">
      <c r="B28" s="198"/>
      <c r="C28" s="199"/>
      <c r="D28" s="222" t="s">
        <v>98</v>
      </c>
      <c r="E28" s="222"/>
      <c r="F28" s="201"/>
      <c r="G28" s="222"/>
      <c r="H28" s="222"/>
      <c r="I28" s="222"/>
      <c r="J28" s="202"/>
      <c r="K28" s="202"/>
      <c r="L28" s="202"/>
      <c r="M28" s="223"/>
    </row>
    <row r="29" spans="1:13" s="210" customFormat="1" ht="26.25" customHeight="1">
      <c r="A29" s="1"/>
      <c r="B29" s="204"/>
      <c r="C29" s="205"/>
      <c r="D29" s="206" t="s">
        <v>106</v>
      </c>
      <c r="E29" s="207"/>
      <c r="F29" s="207"/>
      <c r="G29" s="207"/>
      <c r="H29" s="207"/>
      <c r="I29" s="207"/>
      <c r="J29" s="208"/>
      <c r="K29" s="208"/>
      <c r="L29" s="208"/>
      <c r="M29" s="209"/>
    </row>
    <row r="30" spans="1:13" ht="26.25" customHeight="1">
      <c r="B30" s="211"/>
      <c r="C30" s="212"/>
      <c r="D30" s="224" t="s">
        <v>100</v>
      </c>
      <c r="E30" s="218"/>
      <c r="F30" s="225"/>
      <c r="G30" s="218"/>
      <c r="H30" s="218"/>
      <c r="I30" s="218"/>
      <c r="J30" s="215"/>
      <c r="K30" s="213"/>
      <c r="L30" s="213"/>
      <c r="M30" s="226"/>
    </row>
    <row r="31" spans="1:13" ht="26.25" customHeight="1">
      <c r="B31" s="217"/>
      <c r="C31" s="218"/>
      <c r="D31" s="218"/>
      <c r="E31" s="218"/>
      <c r="F31" s="218"/>
      <c r="G31" s="218"/>
      <c r="H31" s="218"/>
      <c r="I31" s="218"/>
      <c r="J31" s="213"/>
      <c r="K31" s="213"/>
      <c r="L31" s="213"/>
      <c r="M31" s="226"/>
    </row>
    <row r="32" spans="1:13" ht="26.25" customHeight="1">
      <c r="B32" s="198"/>
      <c r="C32" s="199"/>
      <c r="D32" s="222" t="s">
        <v>99</v>
      </c>
      <c r="E32" s="222"/>
      <c r="F32" s="200"/>
      <c r="G32" s="222"/>
      <c r="H32" s="222"/>
      <c r="I32" s="220"/>
      <c r="J32" s="220"/>
      <c r="K32" s="220"/>
      <c r="L32" s="220"/>
      <c r="M32" s="223"/>
    </row>
    <row r="33" spans="2:13" ht="26.25" customHeight="1" thickBot="1">
      <c r="B33" s="188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90"/>
    </row>
    <row r="34" spans="2:13" ht="18.600000000000001" thickTop="1"/>
    <row r="38" spans="2:13" ht="32.25" customHeight="1">
      <c r="B38" s="409" t="s">
        <v>79</v>
      </c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</row>
    <row r="39" spans="2:13" ht="23.25" customHeight="1">
      <c r="B39" s="410" t="s">
        <v>463</v>
      </c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</row>
    <row r="40" spans="2:13" ht="23.25" customHeight="1">
      <c r="B40" s="411" t="s">
        <v>460</v>
      </c>
      <c r="C40" s="411"/>
      <c r="D40" s="411"/>
      <c r="E40" s="411"/>
      <c r="F40" s="411"/>
      <c r="G40" s="411"/>
      <c r="H40" s="411"/>
      <c r="I40" s="411"/>
      <c r="J40" s="411"/>
      <c r="K40" s="411"/>
      <c r="L40" s="411"/>
      <c r="M40" s="411"/>
    </row>
    <row r="41" spans="2:13" ht="30.75" customHeight="1">
      <c r="B41" s="411" t="s">
        <v>458</v>
      </c>
      <c r="C41" s="411"/>
      <c r="D41" s="411"/>
      <c r="E41" s="411"/>
      <c r="F41" s="411"/>
      <c r="G41" s="411"/>
      <c r="H41" s="411"/>
      <c r="I41" s="411"/>
      <c r="J41" s="411"/>
      <c r="K41" s="411"/>
      <c r="L41" s="411"/>
      <c r="M41" s="411"/>
    </row>
    <row r="42" spans="2:13" s="191" customFormat="1" ht="23.25" customHeight="1">
      <c r="B42" s="191" t="s">
        <v>174</v>
      </c>
      <c r="D42" s="192"/>
      <c r="K42" s="191" t="s">
        <v>175</v>
      </c>
    </row>
    <row r="43" spans="2:13" s="60" customFormat="1" ht="10.5" customHeight="1" thickBot="1">
      <c r="D43" s="221"/>
    </row>
    <row r="44" spans="2:13" ht="18.600000000000001" thickTop="1">
      <c r="B44" s="415" t="s">
        <v>80</v>
      </c>
      <c r="C44" s="412"/>
      <c r="D44" s="412" t="s">
        <v>81</v>
      </c>
      <c r="E44" s="412" t="s">
        <v>82</v>
      </c>
      <c r="F44" s="412" t="s">
        <v>83</v>
      </c>
      <c r="G44" s="412" t="s">
        <v>84</v>
      </c>
      <c r="H44" s="412"/>
      <c r="I44" s="412" t="s">
        <v>101</v>
      </c>
      <c r="J44" s="412"/>
      <c r="K44" s="412" t="s">
        <v>102</v>
      </c>
      <c r="L44" s="412"/>
      <c r="M44" s="413" t="s">
        <v>85</v>
      </c>
    </row>
    <row r="45" spans="2:13">
      <c r="B45" s="193" t="s">
        <v>86</v>
      </c>
      <c r="C45" s="194" t="s">
        <v>87</v>
      </c>
      <c r="D45" s="416"/>
      <c r="E45" s="416"/>
      <c r="F45" s="416"/>
      <c r="G45" s="194" t="s">
        <v>88</v>
      </c>
      <c r="H45" s="194" t="s">
        <v>89</v>
      </c>
      <c r="I45" s="194" t="s">
        <v>88</v>
      </c>
      <c r="J45" s="194" t="s">
        <v>89</v>
      </c>
      <c r="K45" s="194" t="s">
        <v>88</v>
      </c>
      <c r="L45" s="194" t="s">
        <v>89</v>
      </c>
      <c r="M45" s="414"/>
    </row>
    <row r="46" spans="2:13" ht="26.25" customHeight="1">
      <c r="B46" s="195" t="s">
        <v>90</v>
      </c>
      <c r="C46" s="196" t="s">
        <v>91</v>
      </c>
      <c r="D46" s="196" t="s">
        <v>92</v>
      </c>
      <c r="E46" s="196" t="s">
        <v>93</v>
      </c>
      <c r="F46" s="196">
        <v>1</v>
      </c>
      <c r="G46" s="196">
        <v>2</v>
      </c>
      <c r="H46" s="196" t="s">
        <v>94</v>
      </c>
      <c r="I46" s="196">
        <v>4</v>
      </c>
      <c r="J46" s="196" t="s">
        <v>95</v>
      </c>
      <c r="K46" s="196">
        <v>6</v>
      </c>
      <c r="L46" s="196" t="s">
        <v>96</v>
      </c>
      <c r="M46" s="197" t="s">
        <v>97</v>
      </c>
    </row>
    <row r="47" spans="2:13" ht="26.25" customHeight="1">
      <c r="B47" s="198"/>
      <c r="C47" s="199"/>
      <c r="D47" s="222" t="s">
        <v>98</v>
      </c>
      <c r="E47" s="222"/>
      <c r="F47" s="227"/>
      <c r="G47" s="202"/>
      <c r="H47" s="202"/>
      <c r="I47" s="202"/>
      <c r="J47" s="202"/>
      <c r="K47" s="228"/>
      <c r="L47" s="202"/>
      <c r="M47" s="223"/>
    </row>
    <row r="48" spans="2:13" ht="26.25" customHeight="1">
      <c r="B48" s="229"/>
      <c r="C48" s="212"/>
      <c r="D48" s="230" t="s">
        <v>106</v>
      </c>
      <c r="E48" s="231"/>
      <c r="F48" s="232"/>
      <c r="G48" s="233"/>
      <c r="H48" s="234"/>
      <c r="I48" s="233"/>
      <c r="J48" s="233"/>
      <c r="K48" s="233"/>
      <c r="L48" s="233"/>
      <c r="M48" s="235"/>
    </row>
    <row r="49" spans="2:13" ht="26.25" customHeight="1">
      <c r="B49" s="211"/>
      <c r="C49" s="236"/>
      <c r="D49" s="224" t="s">
        <v>100</v>
      </c>
      <c r="E49" s="231"/>
      <c r="F49" s="237"/>
      <c r="G49" s="213"/>
      <c r="H49" s="213"/>
      <c r="I49" s="213"/>
      <c r="J49" s="215"/>
      <c r="K49" s="213"/>
      <c r="L49" s="213"/>
      <c r="M49" s="226"/>
    </row>
    <row r="50" spans="2:13" ht="26.25" customHeight="1">
      <c r="B50" s="217"/>
      <c r="C50" s="218"/>
      <c r="D50" s="218"/>
      <c r="E50" s="218"/>
      <c r="F50" s="213"/>
      <c r="G50" s="213"/>
      <c r="H50" s="213"/>
      <c r="I50" s="213"/>
      <c r="J50" s="213"/>
      <c r="K50" s="213"/>
      <c r="L50" s="213"/>
      <c r="M50" s="226"/>
    </row>
    <row r="51" spans="2:13" ht="26.25" customHeight="1">
      <c r="B51" s="198"/>
      <c r="C51" s="199"/>
      <c r="D51" s="222" t="s">
        <v>99</v>
      </c>
      <c r="E51" s="222"/>
      <c r="F51" s="202"/>
      <c r="G51" s="220"/>
      <c r="H51" s="220"/>
      <c r="I51" s="220"/>
      <c r="J51" s="220"/>
      <c r="K51" s="220"/>
      <c r="L51" s="220"/>
      <c r="M51" s="223"/>
    </row>
    <row r="52" spans="2:13" ht="25.5" customHeight="1" thickBot="1">
      <c r="B52" s="188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90"/>
    </row>
    <row r="53" spans="2:13" ht="18.600000000000001" thickTop="1"/>
  </sheetData>
  <mergeCells count="36">
    <mergeCell ref="M25:M26"/>
    <mergeCell ref="K8:L8"/>
    <mergeCell ref="B25:C25"/>
    <mergeCell ref="D25:D26"/>
    <mergeCell ref="E25:E26"/>
    <mergeCell ref="F25:F26"/>
    <mergeCell ref="G25:H25"/>
    <mergeCell ref="I25:J25"/>
    <mergeCell ref="K25:L25"/>
    <mergeCell ref="B8:C8"/>
    <mergeCell ref="D8:D9"/>
    <mergeCell ref="B22:M22"/>
    <mergeCell ref="B20:M20"/>
    <mergeCell ref="B21:M21"/>
    <mergeCell ref="E8:E9"/>
    <mergeCell ref="F8:F9"/>
    <mergeCell ref="B38:M38"/>
    <mergeCell ref="B44:C44"/>
    <mergeCell ref="D44:D45"/>
    <mergeCell ref="E44:E45"/>
    <mergeCell ref="F44:F45"/>
    <mergeCell ref="G44:H44"/>
    <mergeCell ref="I44:J44"/>
    <mergeCell ref="B41:M41"/>
    <mergeCell ref="M44:M45"/>
    <mergeCell ref="B39:M39"/>
    <mergeCell ref="B40:M40"/>
    <mergeCell ref="K44:L44"/>
    <mergeCell ref="B2:M2"/>
    <mergeCell ref="B3:M3"/>
    <mergeCell ref="B4:M4"/>
    <mergeCell ref="B5:M5"/>
    <mergeCell ref="B19:M19"/>
    <mergeCell ref="G8:H8"/>
    <mergeCell ref="I8:J8"/>
    <mergeCell ref="M8:M9"/>
  </mergeCells>
  <pageMargins left="0.23" right="0.04" top="0.75" bottom="0.75" header="0.3" footer="0.3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L12"/>
  <sheetViews>
    <sheetView zoomScaleNormal="100" workbookViewId="0">
      <selection activeCell="D8" sqref="D8"/>
    </sheetView>
  </sheetViews>
  <sheetFormatPr defaultColWidth="8.921875" defaultRowHeight="18"/>
  <cols>
    <col min="1" max="1" width="2" style="1" customWidth="1"/>
    <col min="2" max="2" width="5.765625" style="1" customWidth="1"/>
    <col min="3" max="3" width="14.07421875" style="1" customWidth="1"/>
    <col min="4" max="4" width="7" style="1" customWidth="1"/>
    <col min="5" max="5" width="7.4609375" style="1" customWidth="1"/>
    <col min="6" max="6" width="9.921875" style="1" bestFit="1" customWidth="1"/>
    <col min="7" max="8" width="8.921875" style="1" bestFit="1" customWidth="1"/>
    <col min="9" max="9" width="7.765625" style="1" customWidth="1"/>
    <col min="10" max="10" width="10.765625" style="1" bestFit="1" customWidth="1"/>
    <col min="11" max="11" width="7.4609375" style="1" customWidth="1"/>
    <col min="12" max="12" width="8.921875" style="1" bestFit="1" customWidth="1"/>
    <col min="13" max="16384" width="8.921875" style="1"/>
  </cols>
  <sheetData>
    <row r="2" spans="2:12" ht="34.5" customHeight="1">
      <c r="B2" s="409" t="s">
        <v>176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</row>
    <row r="3" spans="2:12" ht="24.75" customHeight="1">
      <c r="B3" s="399" t="s">
        <v>464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</row>
    <row r="4" spans="2:12" ht="18.600000000000001" thickBot="1">
      <c r="B4" s="221"/>
    </row>
    <row r="5" spans="2:12" ht="28.5" customHeight="1" thickTop="1">
      <c r="B5" s="415" t="s">
        <v>103</v>
      </c>
      <c r="C5" s="412" t="s">
        <v>177</v>
      </c>
      <c r="D5" s="412" t="s">
        <v>104</v>
      </c>
      <c r="E5" s="412" t="s">
        <v>105</v>
      </c>
      <c r="F5" s="412"/>
      <c r="G5" s="412" t="s">
        <v>106</v>
      </c>
      <c r="H5" s="412"/>
      <c r="I5" s="412" t="s">
        <v>100</v>
      </c>
      <c r="J5" s="412"/>
      <c r="K5" s="412" t="s">
        <v>107</v>
      </c>
      <c r="L5" s="413"/>
    </row>
    <row r="6" spans="2:12">
      <c r="B6" s="419"/>
      <c r="C6" s="416"/>
      <c r="D6" s="416"/>
      <c r="E6" s="194" t="s">
        <v>108</v>
      </c>
      <c r="F6" s="194" t="s">
        <v>0</v>
      </c>
      <c r="G6" s="194" t="s">
        <v>108</v>
      </c>
      <c r="H6" s="194" t="s">
        <v>0</v>
      </c>
      <c r="I6" s="194" t="s">
        <v>108</v>
      </c>
      <c r="J6" s="194" t="s">
        <v>0</v>
      </c>
      <c r="K6" s="194" t="s">
        <v>108</v>
      </c>
      <c r="L6" s="238" t="s">
        <v>0</v>
      </c>
    </row>
    <row r="7" spans="2:12" ht="24.75" customHeight="1">
      <c r="B7" s="239">
        <v>1</v>
      </c>
      <c r="C7" s="240"/>
      <c r="D7" s="241"/>
      <c r="E7" s="242"/>
      <c r="F7" s="242"/>
      <c r="G7" s="242"/>
      <c r="H7" s="242"/>
      <c r="I7" s="242"/>
      <c r="J7" s="242"/>
      <c r="K7" s="242"/>
      <c r="L7" s="243"/>
    </row>
    <row r="8" spans="2:12" ht="24.75" customHeight="1">
      <c r="B8" s="239">
        <v>2</v>
      </c>
      <c r="C8" s="240"/>
      <c r="D8" s="241"/>
      <c r="E8" s="242"/>
      <c r="F8" s="242"/>
      <c r="G8" s="242"/>
      <c r="H8" s="242"/>
      <c r="I8" s="242"/>
      <c r="J8" s="242"/>
      <c r="K8" s="242"/>
      <c r="L8" s="243"/>
    </row>
    <row r="9" spans="2:12" ht="24.75" customHeight="1">
      <c r="B9" s="239">
        <v>3</v>
      </c>
      <c r="C9" s="240"/>
      <c r="D9" s="241"/>
      <c r="E9" s="242"/>
      <c r="F9" s="242"/>
      <c r="G9" s="242"/>
      <c r="H9" s="242"/>
      <c r="I9" s="242"/>
      <c r="J9" s="242"/>
      <c r="K9" s="242"/>
      <c r="L9" s="243"/>
    </row>
    <row r="10" spans="2:12" ht="24.75" customHeight="1">
      <c r="B10" s="244"/>
      <c r="C10" s="196" t="s">
        <v>109</v>
      </c>
      <c r="D10" s="245"/>
      <c r="E10" s="246"/>
      <c r="F10" s="246"/>
      <c r="G10" s="246"/>
      <c r="H10" s="246"/>
      <c r="I10" s="246"/>
      <c r="J10" s="246"/>
      <c r="K10" s="246"/>
      <c r="L10" s="247"/>
    </row>
    <row r="11" spans="2:12" ht="24.75" customHeight="1" thickBot="1">
      <c r="B11" s="188"/>
      <c r="C11" s="189"/>
      <c r="D11" s="189"/>
      <c r="E11" s="189"/>
      <c r="F11" s="189"/>
      <c r="G11" s="189"/>
      <c r="H11" s="189"/>
      <c r="I11" s="189"/>
      <c r="J11" s="189"/>
      <c r="K11" s="189"/>
      <c r="L11" s="190"/>
    </row>
    <row r="12" spans="2:12" ht="18.600000000000001" thickTop="1"/>
  </sheetData>
  <mergeCells count="9">
    <mergeCell ref="K5:L5"/>
    <mergeCell ref="B2:L2"/>
    <mergeCell ref="B5:B6"/>
    <mergeCell ref="C5:C6"/>
    <mergeCell ref="D5:D6"/>
    <mergeCell ref="E5:F5"/>
    <mergeCell ref="G5:H5"/>
    <mergeCell ref="I5:J5"/>
    <mergeCell ref="B3:L3"/>
  </mergeCells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J21"/>
  <sheetViews>
    <sheetView topLeftCell="A5" zoomScale="70" zoomScaleNormal="70" workbookViewId="0">
      <selection activeCell="D16" sqref="D16"/>
    </sheetView>
  </sheetViews>
  <sheetFormatPr defaultColWidth="8.765625" defaultRowHeight="18"/>
  <cols>
    <col min="1" max="1" width="5.07421875" style="1" customWidth="1"/>
    <col min="2" max="2" width="6.07421875" style="1" customWidth="1"/>
    <col min="3" max="3" width="32.07421875" style="1" customWidth="1"/>
    <col min="4" max="6" width="8.921875" style="1" bestFit="1" customWidth="1"/>
    <col min="7" max="7" width="10.765625" style="1" bestFit="1" customWidth="1"/>
    <col min="8" max="10" width="8.921875" style="1" bestFit="1" customWidth="1"/>
    <col min="11" max="16384" width="8.765625" style="1"/>
  </cols>
  <sheetData>
    <row r="2" spans="2:10" ht="24.75" customHeight="1">
      <c r="B2" s="409" t="s">
        <v>327</v>
      </c>
      <c r="C2" s="420"/>
      <c r="D2" s="420"/>
      <c r="E2" s="420"/>
      <c r="F2" s="420"/>
      <c r="G2" s="420"/>
      <c r="H2" s="420"/>
      <c r="I2" s="420"/>
      <c r="J2" s="420"/>
    </row>
    <row r="3" spans="2:10" ht="24.75" customHeight="1">
      <c r="B3" s="399" t="s">
        <v>465</v>
      </c>
      <c r="C3" s="399"/>
      <c r="D3" s="399"/>
      <c r="E3" s="399"/>
      <c r="F3" s="399"/>
      <c r="G3" s="399"/>
      <c r="H3" s="399"/>
      <c r="I3" s="399"/>
      <c r="J3" s="399"/>
    </row>
    <row r="4" spans="2:10">
      <c r="B4" s="410" t="s">
        <v>110</v>
      </c>
      <c r="C4" s="410"/>
      <c r="D4" s="410"/>
      <c r="E4" s="410"/>
      <c r="F4" s="410"/>
      <c r="G4" s="410"/>
      <c r="H4" s="410"/>
      <c r="I4" s="410"/>
    </row>
    <row r="5" spans="2:10" ht="18.600000000000001" thickBot="1">
      <c r="B5" s="248" t="s">
        <v>182</v>
      </c>
    </row>
    <row r="6" spans="2:10" ht="23.25" customHeight="1" thickTop="1">
      <c r="B6" s="415" t="s">
        <v>103</v>
      </c>
      <c r="C6" s="421" t="s">
        <v>181</v>
      </c>
      <c r="D6" s="412" t="s">
        <v>111</v>
      </c>
      <c r="E6" s="412"/>
      <c r="F6" s="412" t="s">
        <v>112</v>
      </c>
      <c r="G6" s="412"/>
      <c r="H6" s="412" t="s">
        <v>113</v>
      </c>
      <c r="I6" s="412"/>
      <c r="J6" s="423" t="s">
        <v>135</v>
      </c>
    </row>
    <row r="7" spans="2:10" ht="48" customHeight="1">
      <c r="B7" s="419"/>
      <c r="C7" s="422"/>
      <c r="D7" s="194" t="s">
        <v>108</v>
      </c>
      <c r="E7" s="194" t="s">
        <v>0</v>
      </c>
      <c r="F7" s="194" t="s">
        <v>108</v>
      </c>
      <c r="G7" s="194" t="s">
        <v>0</v>
      </c>
      <c r="H7" s="194" t="s">
        <v>108</v>
      </c>
      <c r="I7" s="194" t="s">
        <v>0</v>
      </c>
      <c r="J7" s="424"/>
    </row>
    <row r="8" spans="2:10">
      <c r="B8" s="239" t="s">
        <v>90</v>
      </c>
      <c r="C8" s="241" t="s">
        <v>91</v>
      </c>
      <c r="D8" s="241">
        <v>1</v>
      </c>
      <c r="E8" s="241">
        <v>2</v>
      </c>
      <c r="F8" s="241">
        <v>3</v>
      </c>
      <c r="G8" s="241">
        <v>4</v>
      </c>
      <c r="H8" s="241">
        <v>5</v>
      </c>
      <c r="I8" s="241">
        <v>6</v>
      </c>
      <c r="J8" s="249">
        <v>7</v>
      </c>
    </row>
    <row r="9" spans="2:10">
      <c r="B9" s="239">
        <v>1</v>
      </c>
      <c r="C9" s="250" t="s">
        <v>183</v>
      </c>
      <c r="D9" s="251"/>
      <c r="E9" s="251"/>
      <c r="F9" s="251"/>
      <c r="G9" s="251"/>
      <c r="H9" s="251"/>
      <c r="I9" s="251"/>
      <c r="J9" s="252"/>
    </row>
    <row r="10" spans="2:10">
      <c r="B10" s="239"/>
      <c r="C10" s="253" t="s">
        <v>178</v>
      </c>
      <c r="D10" s="254"/>
      <c r="E10" s="254"/>
      <c r="F10" s="254"/>
      <c r="G10" s="254"/>
      <c r="H10" s="254"/>
      <c r="I10" s="254"/>
      <c r="J10" s="255"/>
    </row>
    <row r="11" spans="2:10">
      <c r="B11" s="239"/>
      <c r="C11" s="253" t="s">
        <v>179</v>
      </c>
      <c r="D11" s="250"/>
      <c r="E11" s="250"/>
      <c r="F11" s="250"/>
      <c r="G11" s="250"/>
      <c r="H11" s="250"/>
      <c r="I11" s="250"/>
      <c r="J11" s="256"/>
    </row>
    <row r="12" spans="2:10">
      <c r="B12" s="239">
        <v>2</v>
      </c>
      <c r="C12" s="250" t="s">
        <v>184</v>
      </c>
      <c r="D12" s="250"/>
      <c r="E12" s="250"/>
      <c r="F12" s="250"/>
      <c r="G12" s="250"/>
      <c r="H12" s="250"/>
      <c r="I12" s="250"/>
      <c r="J12" s="256"/>
    </row>
    <row r="13" spans="2:10">
      <c r="B13" s="239">
        <v>3</v>
      </c>
      <c r="C13" s="250" t="s">
        <v>185</v>
      </c>
      <c r="D13" s="250"/>
      <c r="E13" s="250"/>
      <c r="F13" s="250"/>
      <c r="G13" s="250"/>
      <c r="H13" s="250"/>
      <c r="I13" s="250"/>
      <c r="J13" s="256"/>
    </row>
    <row r="14" spans="2:10">
      <c r="B14" s="239"/>
      <c r="C14" s="253" t="s">
        <v>180</v>
      </c>
      <c r="D14" s="250"/>
      <c r="E14" s="250"/>
      <c r="F14" s="250"/>
      <c r="G14" s="250"/>
      <c r="H14" s="250"/>
      <c r="I14" s="250"/>
      <c r="J14" s="256"/>
    </row>
    <row r="15" spans="2:10">
      <c r="B15" s="239">
        <v>4</v>
      </c>
      <c r="C15" s="250" t="s">
        <v>163</v>
      </c>
      <c r="D15" s="250"/>
      <c r="E15" s="250"/>
      <c r="F15" s="250"/>
      <c r="G15" s="250"/>
      <c r="H15" s="250"/>
      <c r="I15" s="250"/>
      <c r="J15" s="256"/>
    </row>
    <row r="16" spans="2:10">
      <c r="B16" s="239">
        <v>5</v>
      </c>
      <c r="C16" s="250" t="s">
        <v>186</v>
      </c>
      <c r="D16" s="250"/>
      <c r="E16" s="250"/>
      <c r="F16" s="250"/>
      <c r="G16" s="250"/>
      <c r="H16" s="250"/>
      <c r="I16" s="250"/>
      <c r="J16" s="256"/>
    </row>
    <row r="17" spans="2:10">
      <c r="B17" s="239">
        <v>6</v>
      </c>
      <c r="C17" s="250" t="s">
        <v>187</v>
      </c>
      <c r="D17" s="250"/>
      <c r="E17" s="250"/>
      <c r="F17" s="250"/>
      <c r="G17" s="250"/>
      <c r="H17" s="250"/>
      <c r="I17" s="250"/>
      <c r="J17" s="256"/>
    </row>
    <row r="18" spans="2:10">
      <c r="B18" s="239">
        <v>7</v>
      </c>
      <c r="C18" s="250" t="s">
        <v>188</v>
      </c>
      <c r="D18" s="250"/>
      <c r="E18" s="250"/>
      <c r="F18" s="250"/>
      <c r="G18" s="250"/>
      <c r="H18" s="257"/>
      <c r="I18" s="257"/>
      <c r="J18" s="256"/>
    </row>
    <row r="19" spans="2:10">
      <c r="B19" s="239"/>
      <c r="C19" s="196" t="s">
        <v>109</v>
      </c>
      <c r="D19" s="258"/>
      <c r="E19" s="258"/>
      <c r="F19" s="258"/>
      <c r="G19" s="258"/>
      <c r="H19" s="258"/>
      <c r="I19" s="258"/>
      <c r="J19" s="259"/>
    </row>
    <row r="20" spans="2:10" ht="18.600000000000001" thickBot="1">
      <c r="B20" s="188"/>
      <c r="C20" s="189"/>
      <c r="D20" s="189"/>
      <c r="E20" s="189"/>
      <c r="F20" s="189"/>
      <c r="G20" s="189"/>
      <c r="H20" s="189"/>
      <c r="I20" s="189"/>
      <c r="J20" s="190"/>
    </row>
    <row r="21" spans="2:10" ht="18.600000000000001" thickTop="1"/>
  </sheetData>
  <mergeCells count="9">
    <mergeCell ref="B3:J3"/>
    <mergeCell ref="B2:J2"/>
    <mergeCell ref="C6:C7"/>
    <mergeCell ref="J6:J7"/>
    <mergeCell ref="B4:I4"/>
    <mergeCell ref="B6:B7"/>
    <mergeCell ref="D6:E6"/>
    <mergeCell ref="F6:G6"/>
    <mergeCell ref="H6:I6"/>
  </mergeCells>
  <pageMargins left="0.22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I16"/>
  <sheetViews>
    <sheetView zoomScale="85" zoomScaleNormal="85" workbookViewId="0">
      <selection activeCell="C9" sqref="C9"/>
    </sheetView>
  </sheetViews>
  <sheetFormatPr defaultColWidth="8.765625" defaultRowHeight="18"/>
  <cols>
    <col min="1" max="1" width="6.921875" style="1" customWidth="1"/>
    <col min="2" max="2" width="5" style="1" customWidth="1"/>
    <col min="3" max="3" width="34.765625" style="1" customWidth="1"/>
    <col min="4" max="4" width="9.07421875" style="1" customWidth="1"/>
    <col min="5" max="5" width="9.3828125" style="1" customWidth="1"/>
    <col min="6" max="6" width="9" style="1" customWidth="1"/>
    <col min="7" max="7" width="11.3828125" style="1" bestFit="1" customWidth="1"/>
    <col min="8" max="8" width="11.4609375" style="1" bestFit="1" customWidth="1"/>
    <col min="9" max="9" width="8.921875" style="1" bestFit="1" customWidth="1"/>
    <col min="10" max="16384" width="8.765625" style="1"/>
  </cols>
  <sheetData>
    <row r="2" spans="2:9" ht="24.6">
      <c r="B2" s="425" t="s">
        <v>189</v>
      </c>
      <c r="C2" s="425"/>
      <c r="D2" s="425"/>
      <c r="E2" s="425"/>
      <c r="F2" s="425"/>
      <c r="G2" s="425"/>
      <c r="H2" s="425"/>
      <c r="I2" s="425"/>
    </row>
    <row r="3" spans="2:9">
      <c r="B3" s="399" t="s">
        <v>466</v>
      </c>
      <c r="C3" s="399"/>
      <c r="D3" s="399"/>
      <c r="E3" s="399"/>
      <c r="F3" s="399"/>
      <c r="G3" s="399"/>
      <c r="H3" s="399"/>
      <c r="I3" s="399"/>
    </row>
    <row r="4" spans="2:9" ht="18.600000000000001" thickBot="1">
      <c r="B4" s="60"/>
      <c r="H4" s="60"/>
    </row>
    <row r="5" spans="2:9" ht="18.600000000000001" thickTop="1">
      <c r="B5" s="432" t="s">
        <v>0</v>
      </c>
      <c r="C5" s="426" t="s">
        <v>190</v>
      </c>
      <c r="D5" s="426" t="s">
        <v>191</v>
      </c>
      <c r="E5" s="435" t="s">
        <v>192</v>
      </c>
      <c r="F5" s="436"/>
      <c r="G5" s="426" t="s">
        <v>14</v>
      </c>
      <c r="H5" s="426" t="s">
        <v>15</v>
      </c>
      <c r="I5" s="429" t="s">
        <v>16</v>
      </c>
    </row>
    <row r="6" spans="2:9">
      <c r="B6" s="433"/>
      <c r="C6" s="427"/>
      <c r="D6" s="427"/>
      <c r="E6" s="437" t="s">
        <v>193</v>
      </c>
      <c r="F6" s="437"/>
      <c r="G6" s="427"/>
      <c r="H6" s="427"/>
      <c r="I6" s="430"/>
    </row>
    <row r="7" spans="2:9" ht="35.700000000000003" customHeight="1">
      <c r="B7" s="434"/>
      <c r="C7" s="428"/>
      <c r="D7" s="428"/>
      <c r="E7" s="260" t="s">
        <v>194</v>
      </c>
      <c r="F7" s="2" t="s">
        <v>195</v>
      </c>
      <c r="G7" s="428"/>
      <c r="H7" s="428"/>
      <c r="I7" s="431"/>
    </row>
    <row r="8" spans="2:9" s="264" customFormat="1" ht="17.399999999999999">
      <c r="B8" s="261">
        <v>1</v>
      </c>
      <c r="C8" s="262">
        <v>2</v>
      </c>
      <c r="D8" s="262">
        <v>3</v>
      </c>
      <c r="E8" s="262">
        <v>4</v>
      </c>
      <c r="F8" s="262">
        <v>5</v>
      </c>
      <c r="G8" s="262">
        <v>6</v>
      </c>
      <c r="H8" s="262">
        <v>7</v>
      </c>
      <c r="I8" s="263">
        <v>8</v>
      </c>
    </row>
    <row r="9" spans="2:9">
      <c r="B9" s="265">
        <v>1</v>
      </c>
      <c r="C9" s="266" t="s">
        <v>197</v>
      </c>
      <c r="D9" s="267"/>
      <c r="E9" s="268"/>
      <c r="F9" s="269"/>
      <c r="G9" s="269"/>
      <c r="H9" s="269"/>
      <c r="I9" s="270"/>
    </row>
    <row r="10" spans="2:9">
      <c r="B10" s="271">
        <v>2</v>
      </c>
      <c r="C10" s="272" t="s">
        <v>196</v>
      </c>
      <c r="D10" s="273"/>
      <c r="E10" s="274"/>
      <c r="F10" s="274"/>
      <c r="G10" s="274"/>
      <c r="H10" s="274"/>
      <c r="I10" s="275"/>
    </row>
    <row r="11" spans="2:9">
      <c r="B11" s="271">
        <v>3</v>
      </c>
      <c r="C11" s="276" t="s">
        <v>198</v>
      </c>
      <c r="D11" s="277"/>
      <c r="E11" s="278"/>
      <c r="F11" s="279"/>
      <c r="G11" s="279"/>
      <c r="H11" s="279"/>
      <c r="I11" s="280"/>
    </row>
    <row r="12" spans="2:9">
      <c r="B12" s="271">
        <v>4</v>
      </c>
      <c r="C12" s="272" t="s">
        <v>199</v>
      </c>
      <c r="D12" s="277"/>
      <c r="E12" s="274"/>
      <c r="F12" s="274"/>
      <c r="G12" s="274"/>
      <c r="H12" s="274"/>
      <c r="I12" s="275"/>
    </row>
    <row r="13" spans="2:9">
      <c r="B13" s="271">
        <v>5</v>
      </c>
      <c r="C13" s="276" t="s">
        <v>200</v>
      </c>
      <c r="D13" s="277"/>
      <c r="E13" s="278"/>
      <c r="F13" s="279"/>
      <c r="G13" s="279"/>
      <c r="H13" s="279"/>
      <c r="I13" s="280"/>
    </row>
    <row r="14" spans="2:9">
      <c r="B14" s="271">
        <v>6</v>
      </c>
      <c r="C14" s="272" t="s">
        <v>201</v>
      </c>
      <c r="D14" s="273"/>
      <c r="E14" s="278"/>
      <c r="F14" s="281"/>
      <c r="G14" s="281"/>
      <c r="H14" s="281"/>
      <c r="I14" s="282"/>
    </row>
    <row r="15" spans="2:9" ht="18.600000000000001" thickBot="1">
      <c r="B15" s="283"/>
      <c r="C15" s="25"/>
      <c r="D15" s="25"/>
      <c r="E15" s="25"/>
      <c r="F15" s="25"/>
      <c r="G15" s="25"/>
      <c r="H15" s="25"/>
      <c r="I15" s="27"/>
    </row>
    <row r="16" spans="2:9" ht="18.600000000000001" thickTop="1"/>
  </sheetData>
  <mergeCells count="10">
    <mergeCell ref="B2:I2"/>
    <mergeCell ref="B3:I3"/>
    <mergeCell ref="G5:G7"/>
    <mergeCell ref="H5:H7"/>
    <mergeCell ref="I5:I7"/>
    <mergeCell ref="B5:B7"/>
    <mergeCell ref="C5:C7"/>
    <mergeCell ref="D5:D7"/>
    <mergeCell ref="E5:F5"/>
    <mergeCell ref="E6:F6"/>
  </mergeCells>
  <phoneticPr fontId="0" type="noConversion"/>
  <pageMargins left="0.18" right="0.08" top="0.46" bottom="1" header="0.17" footer="0.5"/>
  <pageSetup paperSize="9" orientation="landscape" horizontalDpi="300" verticalDpi="300" r:id="rId1"/>
  <headerFooter alignWithMargins="0">
    <oddFooter>&amp;C28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J17"/>
  <sheetViews>
    <sheetView zoomScaleNormal="100" workbookViewId="0">
      <selection activeCell="J20" sqref="J20"/>
    </sheetView>
  </sheetViews>
  <sheetFormatPr defaultColWidth="8.765625" defaultRowHeight="18"/>
  <cols>
    <col min="1" max="1" width="4.3046875" style="1" customWidth="1"/>
    <col min="2" max="2" width="11.3828125" style="1" customWidth="1"/>
    <col min="3" max="3" width="7.765625" style="1" customWidth="1"/>
    <col min="4" max="4" width="11.4609375" style="1" customWidth="1"/>
    <col min="5" max="5" width="22.765625" style="1" customWidth="1"/>
    <col min="6" max="16384" width="8.765625" style="1"/>
  </cols>
  <sheetData>
    <row r="2" spans="2:10" ht="33.75" customHeight="1">
      <c r="B2" s="400" t="s">
        <v>202</v>
      </c>
      <c r="C2" s="400"/>
      <c r="D2" s="400"/>
      <c r="E2" s="400"/>
      <c r="F2" s="400"/>
      <c r="G2" s="400"/>
      <c r="H2" s="400"/>
      <c r="I2" s="400"/>
      <c r="J2" s="400"/>
    </row>
    <row r="3" spans="2:10" ht="27.75" customHeight="1">
      <c r="B3" s="399" t="s">
        <v>467</v>
      </c>
      <c r="C3" s="399"/>
      <c r="D3" s="399"/>
      <c r="E3" s="399"/>
      <c r="F3" s="399"/>
      <c r="G3" s="399"/>
      <c r="H3" s="399"/>
      <c r="I3" s="399"/>
      <c r="J3" s="399"/>
    </row>
    <row r="4" spans="2:10" ht="18.600000000000001" thickBot="1"/>
    <row r="5" spans="2:10" ht="23.2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329</v>
      </c>
      <c r="G5" s="441" t="s">
        <v>122</v>
      </c>
      <c r="H5" s="438" t="s">
        <v>213</v>
      </c>
      <c r="I5" s="438"/>
      <c r="J5" s="443"/>
    </row>
    <row r="6" spans="2:10">
      <c r="B6" s="440"/>
      <c r="C6" s="2" t="s">
        <v>86</v>
      </c>
      <c r="D6" s="2" t="s">
        <v>87</v>
      </c>
      <c r="E6" s="442"/>
      <c r="F6" s="442"/>
      <c r="G6" s="442"/>
      <c r="H6" s="2">
        <v>15211</v>
      </c>
      <c r="I6" s="2">
        <v>15212</v>
      </c>
      <c r="J6" s="4">
        <v>15213</v>
      </c>
    </row>
    <row r="7" spans="2:10">
      <c r="B7" s="284"/>
      <c r="C7" s="285"/>
      <c r="D7" s="285"/>
      <c r="E7" s="7" t="s">
        <v>209</v>
      </c>
      <c r="F7" s="285"/>
      <c r="G7" s="285"/>
      <c r="H7" s="285"/>
      <c r="I7" s="285"/>
      <c r="J7" s="286"/>
    </row>
    <row r="8" spans="2:10">
      <c r="B8" s="287"/>
      <c r="C8" s="288"/>
      <c r="D8" s="288"/>
      <c r="E8" s="12" t="s">
        <v>210</v>
      </c>
      <c r="F8" s="288"/>
      <c r="G8" s="289"/>
      <c r="H8" s="289"/>
      <c r="I8" s="289"/>
      <c r="J8" s="290"/>
    </row>
    <row r="9" spans="2:10">
      <c r="B9" s="287"/>
      <c r="C9" s="288" t="s">
        <v>300</v>
      </c>
      <c r="D9" s="291" t="s">
        <v>452</v>
      </c>
      <c r="E9" s="288" t="s">
        <v>204</v>
      </c>
      <c r="F9" s="288"/>
      <c r="G9" s="292"/>
      <c r="H9" s="292"/>
      <c r="I9" s="288"/>
      <c r="J9" s="293"/>
    </row>
    <row r="10" spans="2:10">
      <c r="B10" s="287"/>
      <c r="C10" s="288" t="s">
        <v>300</v>
      </c>
      <c r="D10" s="291" t="s">
        <v>452</v>
      </c>
      <c r="E10" s="288" t="s">
        <v>205</v>
      </c>
      <c r="F10" s="288"/>
      <c r="G10" s="292"/>
      <c r="H10" s="292"/>
      <c r="I10" s="292"/>
      <c r="J10" s="293"/>
    </row>
    <row r="11" spans="2:10">
      <c r="B11" s="287"/>
      <c r="C11" s="288" t="s">
        <v>300</v>
      </c>
      <c r="D11" s="291" t="s">
        <v>452</v>
      </c>
      <c r="E11" s="288" t="s">
        <v>206</v>
      </c>
      <c r="F11" s="288"/>
      <c r="G11" s="292"/>
      <c r="H11" s="292"/>
      <c r="I11" s="292"/>
      <c r="J11" s="294"/>
    </row>
    <row r="12" spans="2:10">
      <c r="B12" s="287"/>
      <c r="C12" s="288"/>
      <c r="D12" s="288"/>
      <c r="E12" s="295" t="s">
        <v>207</v>
      </c>
      <c r="F12" s="288"/>
      <c r="G12" s="289"/>
      <c r="H12" s="289"/>
      <c r="I12" s="289"/>
      <c r="J12" s="290"/>
    </row>
    <row r="13" spans="2:10">
      <c r="B13" s="287"/>
      <c r="C13" s="288"/>
      <c r="D13" s="288"/>
      <c r="E13" s="288" t="s">
        <v>211</v>
      </c>
      <c r="F13" s="288"/>
      <c r="G13" s="292"/>
      <c r="H13" s="288"/>
      <c r="I13" s="288"/>
      <c r="J13" s="293"/>
    </row>
    <row r="14" spans="2:10">
      <c r="B14" s="287"/>
      <c r="C14" s="288"/>
      <c r="D14" s="288"/>
      <c r="E14" s="23" t="s">
        <v>248</v>
      </c>
      <c r="F14" s="288"/>
      <c r="G14" s="288"/>
      <c r="H14" s="288"/>
      <c r="I14" s="288"/>
      <c r="J14" s="293"/>
    </row>
    <row r="15" spans="2:10">
      <c r="B15" s="287"/>
      <c r="C15" s="288"/>
      <c r="D15" s="288"/>
      <c r="E15" s="288"/>
      <c r="F15" s="288"/>
      <c r="G15" s="288"/>
      <c r="H15" s="288"/>
      <c r="I15" s="288"/>
      <c r="J15" s="293"/>
    </row>
    <row r="16" spans="2:10" ht="18.600000000000001" thickBot="1">
      <c r="B16" s="296"/>
      <c r="C16" s="297"/>
      <c r="D16" s="297"/>
      <c r="E16" s="297"/>
      <c r="F16" s="297"/>
      <c r="G16" s="297"/>
      <c r="H16" s="297"/>
      <c r="I16" s="297"/>
      <c r="J16" s="298"/>
    </row>
    <row r="17" ht="18.600000000000001" thickTop="1"/>
  </sheetData>
  <mergeCells count="8">
    <mergeCell ref="B2:J2"/>
    <mergeCell ref="B3:J3"/>
    <mergeCell ref="C5:D5"/>
    <mergeCell ref="B5:B6"/>
    <mergeCell ref="E5:E6"/>
    <mergeCell ref="F5:F6"/>
    <mergeCell ref="G5:G6"/>
    <mergeCell ref="H5:J5"/>
  </mergeCells>
  <phoneticPr fontId="11" type="noConversion"/>
  <pageMargins left="0.75" right="0.75" top="0.5" bottom="1" header="0.19" footer="0.5"/>
  <pageSetup paperSize="9" orientation="landscape" horizontalDpi="300" verticalDpi="300" r:id="rId1"/>
  <headerFooter alignWithMargins="0">
    <oddFooter>&amp;C29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I15"/>
  <sheetViews>
    <sheetView zoomScale="85" zoomScaleNormal="85" workbookViewId="0">
      <selection activeCell="E12" sqref="E12"/>
    </sheetView>
  </sheetViews>
  <sheetFormatPr defaultColWidth="8.765625" defaultRowHeight="18"/>
  <cols>
    <col min="1" max="1" width="4.07421875" style="1" customWidth="1"/>
    <col min="2" max="2" width="11.07421875" style="1" customWidth="1"/>
    <col min="3" max="3" width="10.69140625" style="1" customWidth="1"/>
    <col min="4" max="4" width="11.4609375" style="1" customWidth="1"/>
    <col min="5" max="5" width="41.61328125" style="1" customWidth="1"/>
    <col min="6" max="6" width="7.3046875" style="1" customWidth="1"/>
    <col min="7" max="16384" width="8.765625" style="1"/>
  </cols>
  <sheetData>
    <row r="2" spans="2:9" ht="30" customHeight="1">
      <c r="B2" s="400" t="s">
        <v>214</v>
      </c>
      <c r="C2" s="400"/>
      <c r="D2" s="400"/>
      <c r="E2" s="400"/>
      <c r="F2" s="400"/>
      <c r="G2" s="400"/>
      <c r="H2" s="400"/>
      <c r="I2" s="400"/>
    </row>
    <row r="3" spans="2:9" ht="27.75" customHeight="1">
      <c r="B3" s="399" t="s">
        <v>468</v>
      </c>
      <c r="C3" s="399"/>
      <c r="D3" s="399"/>
      <c r="E3" s="399"/>
      <c r="F3" s="399"/>
      <c r="G3" s="399"/>
      <c r="H3" s="399"/>
      <c r="I3" s="399"/>
    </row>
    <row r="4" spans="2:9" ht="18.600000000000001" thickBot="1"/>
    <row r="5" spans="2:9" ht="19.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329</v>
      </c>
      <c r="G5" s="441" t="s">
        <v>122</v>
      </c>
      <c r="H5" s="444" t="s">
        <v>215</v>
      </c>
      <c r="I5" s="445"/>
    </row>
    <row r="6" spans="2:9">
      <c r="B6" s="440"/>
      <c r="C6" s="2" t="s">
        <v>86</v>
      </c>
      <c r="D6" s="2" t="s">
        <v>87</v>
      </c>
      <c r="E6" s="442"/>
      <c r="F6" s="442"/>
      <c r="G6" s="442"/>
      <c r="H6" s="2">
        <v>334</v>
      </c>
      <c r="I6" s="4">
        <v>338</v>
      </c>
    </row>
    <row r="7" spans="2:9" ht="25.5" customHeight="1">
      <c r="B7" s="5"/>
      <c r="C7" s="6"/>
      <c r="D7" s="6"/>
      <c r="E7" s="7" t="s">
        <v>209</v>
      </c>
      <c r="F7" s="6"/>
      <c r="G7" s="6"/>
      <c r="H7" s="6"/>
      <c r="I7" s="9"/>
    </row>
    <row r="8" spans="2:9" ht="25.5" customHeight="1">
      <c r="B8" s="10"/>
      <c r="C8" s="11"/>
      <c r="D8" s="11"/>
      <c r="E8" s="12" t="s">
        <v>210</v>
      </c>
      <c r="F8" s="11"/>
      <c r="G8" s="13"/>
      <c r="H8" s="13"/>
      <c r="I8" s="14"/>
    </row>
    <row r="9" spans="2:9" ht="25.5" customHeight="1">
      <c r="B9" s="10"/>
      <c r="C9" s="11" t="s">
        <v>31</v>
      </c>
      <c r="D9" s="15" t="s">
        <v>20</v>
      </c>
      <c r="E9" s="11" t="s">
        <v>216</v>
      </c>
      <c r="F9" s="16"/>
      <c r="G9" s="17"/>
      <c r="H9" s="17"/>
      <c r="I9" s="19"/>
    </row>
    <row r="10" spans="2:9" ht="25.5" customHeight="1">
      <c r="B10" s="10"/>
      <c r="C10" s="11" t="s">
        <v>31</v>
      </c>
      <c r="D10" s="15" t="s">
        <v>20</v>
      </c>
      <c r="E10" s="11" t="s">
        <v>217</v>
      </c>
      <c r="F10" s="16"/>
      <c r="G10" s="17"/>
      <c r="H10" s="17"/>
      <c r="I10" s="20"/>
    </row>
    <row r="11" spans="2:9" ht="25.5" customHeight="1">
      <c r="B11" s="10"/>
      <c r="C11" s="11"/>
      <c r="D11" s="11"/>
      <c r="E11" s="21" t="s">
        <v>207</v>
      </c>
      <c r="F11" s="16"/>
      <c r="G11" s="13"/>
      <c r="H11" s="13"/>
      <c r="I11" s="14"/>
    </row>
    <row r="12" spans="2:9" ht="25.5" customHeight="1">
      <c r="B12" s="10"/>
      <c r="C12" s="11"/>
      <c r="D12" s="11"/>
      <c r="E12" s="11" t="s">
        <v>218</v>
      </c>
      <c r="F12" s="16"/>
      <c r="G12" s="17"/>
      <c r="H12" s="11"/>
      <c r="I12" s="19"/>
    </row>
    <row r="13" spans="2:9" ht="25.5" customHeight="1">
      <c r="B13" s="10"/>
      <c r="C13" s="11"/>
      <c r="D13" s="11"/>
      <c r="E13" s="23" t="s">
        <v>248</v>
      </c>
      <c r="F13" s="11"/>
      <c r="G13" s="11"/>
      <c r="H13" s="11"/>
      <c r="I13" s="19"/>
    </row>
    <row r="14" spans="2:9" ht="25.5" customHeight="1" thickBot="1">
      <c r="B14" s="24"/>
      <c r="C14" s="25"/>
      <c r="D14" s="25"/>
      <c r="E14" s="25"/>
      <c r="F14" s="25"/>
      <c r="G14" s="25"/>
      <c r="H14" s="25"/>
      <c r="I14" s="27"/>
    </row>
    <row r="15" spans="2:9" ht="18.600000000000001" thickTop="1"/>
  </sheetData>
  <mergeCells count="8">
    <mergeCell ref="B2:I2"/>
    <mergeCell ref="B3:I3"/>
    <mergeCell ref="G5:G6"/>
    <mergeCell ref="H5:I5"/>
    <mergeCell ref="B5:B6"/>
    <mergeCell ref="C5:D5"/>
    <mergeCell ref="E5:E6"/>
    <mergeCell ref="F5:F6"/>
  </mergeCells>
  <phoneticPr fontId="11" type="noConversion"/>
  <pageMargins left="0.56000000000000005" right="0.75" top="0.36" bottom="1" header="0.17" footer="0.5"/>
  <pageSetup paperSize="9" orientation="landscape" horizontalDpi="300" verticalDpi="300" r:id="rId1"/>
  <headerFooter alignWithMargins="0">
    <oddFooter>&amp;C30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L17"/>
  <sheetViews>
    <sheetView zoomScaleNormal="100" workbookViewId="0">
      <selection activeCell="D9" sqref="D9"/>
    </sheetView>
  </sheetViews>
  <sheetFormatPr defaultColWidth="8.765625" defaultRowHeight="18"/>
  <cols>
    <col min="1" max="1" width="4.07421875" style="1" customWidth="1"/>
    <col min="2" max="2" width="10.61328125" style="1" customWidth="1"/>
    <col min="3" max="3" width="10.3046875" style="1" customWidth="1"/>
    <col min="4" max="4" width="10.69140625" style="1" customWidth="1"/>
    <col min="5" max="5" width="31.921875" style="1" customWidth="1"/>
    <col min="6" max="6" width="7.61328125" style="1" customWidth="1"/>
    <col min="7" max="8" width="7" style="1" customWidth="1"/>
    <col min="9" max="9" width="6.61328125" style="1" customWidth="1"/>
    <col min="10" max="10" width="5.3828125" style="1" customWidth="1"/>
    <col min="11" max="11" width="7.921875" style="1" customWidth="1"/>
    <col min="12" max="12" width="6.61328125" style="1" customWidth="1"/>
    <col min="13" max="16384" width="8.765625" style="1"/>
  </cols>
  <sheetData>
    <row r="2" spans="2:12" ht="28.5" customHeight="1">
      <c r="B2" s="400" t="s">
        <v>219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2:12" ht="27.75" customHeight="1">
      <c r="B3" s="399" t="s">
        <v>469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</row>
    <row r="4" spans="2:12" ht="18.600000000000001" thickBot="1"/>
    <row r="5" spans="2:12" ht="19.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328</v>
      </c>
      <c r="G5" s="441" t="s">
        <v>122</v>
      </c>
      <c r="H5" s="444" t="s">
        <v>220</v>
      </c>
      <c r="I5" s="446"/>
      <c r="J5" s="446"/>
      <c r="K5" s="445"/>
    </row>
    <row r="6" spans="2:12">
      <c r="B6" s="440"/>
      <c r="C6" s="2" t="s">
        <v>86</v>
      </c>
      <c r="D6" s="2" t="s">
        <v>87</v>
      </c>
      <c r="E6" s="442"/>
      <c r="F6" s="442"/>
      <c r="G6" s="442"/>
      <c r="H6" s="2">
        <v>334</v>
      </c>
      <c r="I6" s="3">
        <v>338</v>
      </c>
      <c r="J6" s="3">
        <v>214</v>
      </c>
      <c r="K6" s="4">
        <v>111</v>
      </c>
    </row>
    <row r="7" spans="2:12">
      <c r="B7" s="5"/>
      <c r="C7" s="6"/>
      <c r="D7" s="6"/>
      <c r="E7" s="7" t="s">
        <v>209</v>
      </c>
      <c r="F7" s="6"/>
      <c r="G7" s="6"/>
      <c r="H7" s="6"/>
      <c r="I7" s="8"/>
      <c r="J7" s="8"/>
      <c r="K7" s="9"/>
    </row>
    <row r="8" spans="2:12">
      <c r="B8" s="10"/>
      <c r="C8" s="11"/>
      <c r="D8" s="11"/>
      <c r="E8" s="12" t="s">
        <v>210</v>
      </c>
      <c r="F8" s="11"/>
      <c r="G8" s="13"/>
      <c r="H8" s="13"/>
      <c r="I8" s="13"/>
      <c r="J8" s="13"/>
      <c r="K8" s="14"/>
    </row>
    <row r="9" spans="2:12">
      <c r="B9" s="10"/>
      <c r="C9" s="11" t="s">
        <v>31</v>
      </c>
      <c r="D9" s="15" t="s">
        <v>20</v>
      </c>
      <c r="E9" s="11" t="s">
        <v>222</v>
      </c>
      <c r="F9" s="11"/>
      <c r="G9" s="17"/>
      <c r="H9" s="17"/>
      <c r="I9" s="18"/>
      <c r="J9" s="18"/>
      <c r="K9" s="19"/>
    </row>
    <row r="10" spans="2:12">
      <c r="B10" s="10"/>
      <c r="C10" s="11" t="s">
        <v>31</v>
      </c>
      <c r="D10" s="15" t="s">
        <v>20</v>
      </c>
      <c r="E10" s="11" t="s">
        <v>223</v>
      </c>
      <c r="F10" s="11"/>
      <c r="G10" s="17"/>
      <c r="H10" s="17"/>
      <c r="I10" s="17"/>
      <c r="J10" s="17"/>
      <c r="K10" s="20"/>
    </row>
    <row r="11" spans="2:12">
      <c r="B11" s="10"/>
      <c r="C11" s="11" t="s">
        <v>32</v>
      </c>
      <c r="D11" s="15" t="s">
        <v>20</v>
      </c>
      <c r="E11" s="11" t="s">
        <v>221</v>
      </c>
      <c r="F11" s="11"/>
      <c r="G11" s="17"/>
      <c r="H11" s="17"/>
      <c r="I11" s="17"/>
      <c r="J11" s="17"/>
      <c r="K11" s="20"/>
    </row>
    <row r="12" spans="2:12">
      <c r="B12" s="10"/>
      <c r="C12" s="11" t="s">
        <v>17</v>
      </c>
      <c r="D12" s="15" t="s">
        <v>20</v>
      </c>
      <c r="E12" s="11" t="s">
        <v>224</v>
      </c>
      <c r="F12" s="11"/>
      <c r="G12" s="17"/>
      <c r="H12" s="17"/>
      <c r="I12" s="17"/>
      <c r="J12" s="17"/>
      <c r="K12" s="20"/>
    </row>
    <row r="13" spans="2:12">
      <c r="B13" s="10"/>
      <c r="C13" s="11"/>
      <c r="D13" s="11"/>
      <c r="E13" s="21" t="s">
        <v>207</v>
      </c>
      <c r="F13" s="11"/>
      <c r="G13" s="13"/>
      <c r="H13" s="13"/>
      <c r="I13" s="13"/>
      <c r="J13" s="13"/>
      <c r="K13" s="14"/>
    </row>
    <row r="14" spans="2:12">
      <c r="B14" s="10"/>
      <c r="C14" s="11"/>
      <c r="D14" s="11"/>
      <c r="E14" s="11" t="s">
        <v>225</v>
      </c>
      <c r="F14" s="11"/>
      <c r="G14" s="17"/>
      <c r="H14" s="11"/>
      <c r="I14" s="22"/>
      <c r="J14" s="22"/>
      <c r="K14" s="19"/>
    </row>
    <row r="15" spans="2:12">
      <c r="B15" s="10"/>
      <c r="C15" s="11"/>
      <c r="D15" s="11"/>
      <c r="E15" s="23" t="s">
        <v>248</v>
      </c>
      <c r="F15" s="11"/>
      <c r="G15" s="11"/>
      <c r="H15" s="11"/>
      <c r="I15" s="22"/>
      <c r="J15" s="22"/>
      <c r="K15" s="19"/>
    </row>
    <row r="16" spans="2:12" ht="18.600000000000001" thickBot="1">
      <c r="B16" s="24"/>
      <c r="C16" s="25"/>
      <c r="D16" s="25"/>
      <c r="E16" s="25"/>
      <c r="F16" s="25"/>
      <c r="G16" s="25"/>
      <c r="H16" s="25"/>
      <c r="I16" s="26"/>
      <c r="J16" s="26"/>
      <c r="K16" s="27"/>
    </row>
    <row r="17" ht="18.600000000000001" thickTop="1"/>
  </sheetData>
  <mergeCells count="8">
    <mergeCell ref="B2:L2"/>
    <mergeCell ref="B3:L3"/>
    <mergeCell ref="H5:K5"/>
    <mergeCell ref="G5:G6"/>
    <mergeCell ref="B5:B6"/>
    <mergeCell ref="C5:D5"/>
    <mergeCell ref="E5:E6"/>
    <mergeCell ref="F5:F6"/>
  </mergeCells>
  <phoneticPr fontId="11" type="noConversion"/>
  <pageMargins left="0.22" right="0.22" top="0.37" bottom="1" header="0.19" footer="0.5"/>
  <pageSetup paperSize="9" orientation="landscape" horizontalDpi="300" verticalDpi="300" r:id="rId1"/>
  <headerFooter alignWithMargins="0">
    <oddFooter>&amp;C31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K19"/>
  <sheetViews>
    <sheetView zoomScale="130" zoomScaleNormal="130" workbookViewId="0">
      <selection activeCell="G19" sqref="G19"/>
    </sheetView>
  </sheetViews>
  <sheetFormatPr defaultColWidth="8.765625" defaultRowHeight="18"/>
  <cols>
    <col min="1" max="1" width="2.23046875" style="1" customWidth="1"/>
    <col min="2" max="2" width="10.921875" style="1" customWidth="1"/>
    <col min="3" max="3" width="9.765625" style="1" customWidth="1"/>
    <col min="4" max="4" width="11.23046875" style="1" customWidth="1"/>
    <col min="5" max="5" width="20.23046875" style="1" customWidth="1"/>
    <col min="6" max="6" width="7.23046875" style="1" customWidth="1"/>
    <col min="7" max="7" width="8.921875" style="1" bestFit="1" customWidth="1"/>
    <col min="8" max="10" width="8.765625" style="1"/>
    <col min="11" max="11" width="7.3828125" style="1" customWidth="1"/>
    <col min="12" max="16384" width="8.765625" style="1"/>
  </cols>
  <sheetData>
    <row r="2" spans="2:11" ht="28.5" customHeight="1">
      <c r="C2" s="378" t="s">
        <v>474</v>
      </c>
    </row>
    <row r="3" spans="2:11">
      <c r="E3" s="1" t="s">
        <v>475</v>
      </c>
    </row>
    <row r="4" spans="2:11" ht="18.600000000000001" thickBot="1"/>
    <row r="5" spans="2:11" ht="19.5" customHeight="1" thickTop="1">
      <c r="B5" s="452" t="s">
        <v>203</v>
      </c>
      <c r="C5" s="444" t="s">
        <v>80</v>
      </c>
      <c r="D5" s="451"/>
      <c r="E5" s="438" t="s">
        <v>81</v>
      </c>
      <c r="F5" s="438" t="s">
        <v>212</v>
      </c>
      <c r="G5" s="438" t="s">
        <v>122</v>
      </c>
      <c r="H5" s="444" t="s">
        <v>226</v>
      </c>
      <c r="I5" s="446"/>
      <c r="J5" s="446"/>
      <c r="K5" s="445"/>
    </row>
    <row r="6" spans="2:11">
      <c r="B6" s="453"/>
      <c r="C6" s="447" t="s">
        <v>86</v>
      </c>
      <c r="D6" s="447" t="s">
        <v>87</v>
      </c>
      <c r="E6" s="455"/>
      <c r="F6" s="455"/>
      <c r="G6" s="455"/>
      <c r="H6" s="456">
        <v>621</v>
      </c>
      <c r="I6" s="457"/>
      <c r="J6" s="447">
        <v>622</v>
      </c>
      <c r="K6" s="449">
        <v>627</v>
      </c>
    </row>
    <row r="7" spans="2:11">
      <c r="B7" s="454"/>
      <c r="C7" s="448"/>
      <c r="D7" s="448"/>
      <c r="E7" s="448"/>
      <c r="F7" s="448"/>
      <c r="G7" s="448"/>
      <c r="H7" s="379">
        <v>1521</v>
      </c>
      <c r="I7" s="380">
        <v>1522</v>
      </c>
      <c r="J7" s="448"/>
      <c r="K7" s="450"/>
    </row>
    <row r="8" spans="2:11">
      <c r="B8" s="5"/>
      <c r="C8" s="6"/>
      <c r="D8" s="6"/>
      <c r="E8" s="381" t="s">
        <v>209</v>
      </c>
      <c r="F8" s="6"/>
      <c r="G8" s="299"/>
      <c r="H8" s="299"/>
      <c r="I8" s="299"/>
      <c r="J8" s="300"/>
      <c r="K8" s="301"/>
    </row>
    <row r="9" spans="2:11">
      <c r="B9" s="10"/>
      <c r="C9" s="11"/>
      <c r="D9" s="11"/>
      <c r="E9" s="23" t="s">
        <v>210</v>
      </c>
      <c r="F9" s="11"/>
      <c r="G9" s="13"/>
      <c r="H9" s="13"/>
      <c r="I9" s="13"/>
      <c r="J9" s="13"/>
      <c r="K9" s="14"/>
    </row>
    <row r="10" spans="2:11">
      <c r="B10" s="10"/>
      <c r="C10" s="11" t="s">
        <v>227</v>
      </c>
      <c r="D10" s="15" t="s">
        <v>20</v>
      </c>
      <c r="E10" s="11" t="s">
        <v>228</v>
      </c>
      <c r="F10" s="16"/>
      <c r="G10" s="17"/>
      <c r="H10" s="17"/>
      <c r="I10" s="18"/>
      <c r="J10" s="18"/>
      <c r="K10" s="19"/>
    </row>
    <row r="11" spans="2:11">
      <c r="B11" s="10"/>
      <c r="C11" s="11" t="s">
        <v>330</v>
      </c>
      <c r="D11" s="15" t="s">
        <v>20</v>
      </c>
      <c r="E11" s="11" t="s">
        <v>476</v>
      </c>
      <c r="F11" s="16"/>
      <c r="G11" s="17"/>
      <c r="H11" s="17"/>
      <c r="I11" s="18"/>
      <c r="J11" s="17"/>
      <c r="K11" s="19"/>
    </row>
    <row r="12" spans="2:11">
      <c r="B12" s="10"/>
      <c r="C12" s="11" t="s">
        <v>331</v>
      </c>
      <c r="D12" s="15" t="s">
        <v>20</v>
      </c>
      <c r="E12" s="11" t="s">
        <v>229</v>
      </c>
      <c r="F12" s="16"/>
      <c r="G12" s="17"/>
      <c r="H12" s="17"/>
      <c r="I12" s="17"/>
      <c r="J12" s="17"/>
      <c r="K12" s="20"/>
    </row>
    <row r="13" spans="2:11">
      <c r="B13" s="10"/>
      <c r="C13" s="11"/>
      <c r="D13" s="11"/>
      <c r="E13" s="21" t="s">
        <v>477</v>
      </c>
      <c r="F13" s="11"/>
      <c r="G13" s="13"/>
      <c r="H13" s="13"/>
      <c r="I13" s="13"/>
      <c r="J13" s="13"/>
      <c r="K13" s="14"/>
    </row>
    <row r="14" spans="2:11">
      <c r="B14" s="10"/>
      <c r="C14" s="11"/>
      <c r="D14" s="11"/>
      <c r="E14" s="11" t="s">
        <v>478</v>
      </c>
      <c r="F14" s="16"/>
      <c r="G14" s="17"/>
      <c r="H14" s="11"/>
      <c r="I14" s="22"/>
      <c r="J14" s="22"/>
      <c r="K14" s="19"/>
    </row>
    <row r="15" spans="2:11">
      <c r="B15" s="10"/>
      <c r="C15" s="11"/>
      <c r="D15" s="11"/>
      <c r="E15" s="11" t="s">
        <v>208</v>
      </c>
      <c r="F15" s="11"/>
      <c r="G15" s="17"/>
      <c r="H15" s="11"/>
      <c r="I15" s="22"/>
      <c r="J15" s="22"/>
      <c r="K15" s="19"/>
    </row>
    <row r="16" spans="2:11" ht="18.600000000000001" thickBot="1">
      <c r="B16" s="24"/>
      <c r="C16" s="25"/>
      <c r="D16" s="25"/>
      <c r="E16" s="25"/>
      <c r="F16" s="25"/>
      <c r="G16" s="25"/>
      <c r="H16" s="25"/>
      <c r="I16" s="26"/>
      <c r="J16" s="26"/>
      <c r="K16" s="27"/>
    </row>
    <row r="17" spans="7:7" ht="18.600000000000001" thickTop="1"/>
    <row r="19" spans="7:7">
      <c r="G19" s="302"/>
    </row>
  </sheetData>
  <mergeCells count="11">
    <mergeCell ref="J6:J7"/>
    <mergeCell ref="K6:K7"/>
    <mergeCell ref="C5:D5"/>
    <mergeCell ref="B5:B7"/>
    <mergeCell ref="E5:E7"/>
    <mergeCell ref="F5:F7"/>
    <mergeCell ref="G5:G7"/>
    <mergeCell ref="H5:K5"/>
    <mergeCell ref="C6:C7"/>
    <mergeCell ref="D6:D7"/>
    <mergeCell ref="H6:I6"/>
  </mergeCells>
  <phoneticPr fontId="11" type="noConversion"/>
  <pageMargins left="0.19" right="0.28000000000000003" top="0.25" bottom="1" header="0.17" footer="0.5"/>
  <pageSetup paperSize="9" orientation="landscape" horizontalDpi="300" verticalDpi="300" r:id="rId1"/>
  <headerFooter alignWithMargins="0">
    <oddFooter>&amp;C32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2:I13"/>
  <sheetViews>
    <sheetView zoomScale="85" zoomScaleNormal="85" workbookViewId="0">
      <selection activeCell="B9" sqref="B9"/>
    </sheetView>
  </sheetViews>
  <sheetFormatPr defaultColWidth="8.765625" defaultRowHeight="18"/>
  <cols>
    <col min="1" max="1" width="2.921875" style="1" customWidth="1"/>
    <col min="2" max="2" width="24.07421875" style="1" customWidth="1"/>
    <col min="3" max="3" width="14.3828125" style="1" customWidth="1"/>
    <col min="4" max="4" width="14.921875" style="1" customWidth="1"/>
    <col min="5" max="5" width="13.07421875" style="1" customWidth="1"/>
    <col min="6" max="6" width="15" style="1" customWidth="1"/>
    <col min="7" max="7" width="9.07421875" style="1" customWidth="1"/>
    <col min="8" max="16384" width="8.765625" style="1"/>
  </cols>
  <sheetData>
    <row r="2" spans="2:9" ht="22.8">
      <c r="B2" s="400" t="s">
        <v>231</v>
      </c>
      <c r="C2" s="400"/>
      <c r="D2" s="400"/>
      <c r="E2" s="400"/>
      <c r="F2" s="400"/>
      <c r="G2" s="400"/>
    </row>
    <row r="3" spans="2:9" ht="26.25" customHeight="1">
      <c r="B3" s="399" t="s">
        <v>230</v>
      </c>
      <c r="C3" s="399"/>
      <c r="D3" s="399"/>
      <c r="E3" s="399"/>
      <c r="F3" s="399"/>
      <c r="G3" s="399"/>
    </row>
    <row r="4" spans="2:9" ht="18.600000000000001" thickBot="1"/>
    <row r="5" spans="2:9" ht="48.75" customHeight="1" thickTop="1">
      <c r="B5" s="303" t="s">
        <v>232</v>
      </c>
      <c r="C5" s="304" t="s">
        <v>236</v>
      </c>
      <c r="D5" s="304" t="s">
        <v>237</v>
      </c>
      <c r="E5" s="304" t="s">
        <v>238</v>
      </c>
      <c r="F5" s="304" t="s">
        <v>239</v>
      </c>
      <c r="G5" s="305" t="s">
        <v>240</v>
      </c>
      <c r="H5" s="306"/>
      <c r="I5" s="306"/>
    </row>
    <row r="6" spans="2:9" ht="21.75" customHeight="1">
      <c r="B6" s="307" t="s">
        <v>233</v>
      </c>
      <c r="C6" s="308"/>
      <c r="D6" s="308"/>
      <c r="E6" s="309"/>
      <c r="F6" s="309"/>
      <c r="G6" s="310"/>
    </row>
    <row r="7" spans="2:9" ht="21.75" customHeight="1">
      <c r="B7" s="377" t="s">
        <v>472</v>
      </c>
      <c r="C7" s="375"/>
      <c r="D7" s="375"/>
      <c r="E7" s="309"/>
      <c r="F7" s="309"/>
      <c r="G7" s="376"/>
    </row>
    <row r="8" spans="2:9" ht="21.75" customHeight="1">
      <c r="B8" s="377" t="s">
        <v>473</v>
      </c>
      <c r="C8" s="375"/>
      <c r="D8" s="375"/>
      <c r="E8" s="309"/>
      <c r="F8" s="309"/>
      <c r="G8" s="376"/>
    </row>
    <row r="9" spans="2:9" ht="21.75" customHeight="1">
      <c r="B9" s="311" t="s">
        <v>234</v>
      </c>
      <c r="C9" s="17"/>
      <c r="D9" s="309"/>
      <c r="E9" s="309"/>
      <c r="F9" s="309"/>
      <c r="G9" s="312"/>
    </row>
    <row r="10" spans="2:9" ht="21.75" customHeight="1">
      <c r="B10" s="311" t="s">
        <v>235</v>
      </c>
      <c r="C10" s="309"/>
      <c r="D10" s="309"/>
      <c r="E10" s="309"/>
      <c r="F10" s="309"/>
      <c r="G10" s="313"/>
    </row>
    <row r="11" spans="2:9" ht="21.75" customHeight="1">
      <c r="B11" s="314" t="s">
        <v>135</v>
      </c>
      <c r="C11" s="315"/>
      <c r="D11" s="315"/>
      <c r="E11" s="315"/>
      <c r="F11" s="315"/>
      <c r="G11" s="316"/>
    </row>
    <row r="12" spans="2:9" ht="18.600000000000001" thickBot="1">
      <c r="B12" s="317"/>
      <c r="C12" s="318"/>
      <c r="D12" s="318"/>
      <c r="E12" s="318"/>
      <c r="F12" s="318"/>
      <c r="G12" s="319"/>
    </row>
    <row r="13" spans="2:9" ht="18.600000000000001" thickTop="1"/>
  </sheetData>
  <mergeCells count="2">
    <mergeCell ref="B2:G2"/>
    <mergeCell ref="B3:G3"/>
  </mergeCells>
  <phoneticPr fontId="11" type="noConversion"/>
  <pageMargins left="0.84" right="0.27" top="0.53" bottom="1" header="0.28999999999999998" footer="0.5"/>
  <pageSetup paperSize="9" orientation="landscape" horizontalDpi="300" verticalDpi="300" r:id="rId1"/>
  <headerFooter alignWithMargins="0">
    <oddFooter>&amp;C31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N24"/>
  <sheetViews>
    <sheetView zoomScale="85" zoomScaleNormal="85" workbookViewId="0">
      <selection activeCell="J15" sqref="J15"/>
    </sheetView>
  </sheetViews>
  <sheetFormatPr defaultColWidth="8.921875" defaultRowHeight="18"/>
  <cols>
    <col min="1" max="1" width="5.69140625" style="1" customWidth="1"/>
    <col min="2" max="2" width="7.4609375" style="1" customWidth="1"/>
    <col min="3" max="3" width="15.07421875" style="1" customWidth="1"/>
    <col min="4" max="4" width="20.07421875" style="1" customWidth="1"/>
    <col min="5" max="5" width="11.61328125" style="1" bestFit="1" customWidth="1"/>
    <col min="6" max="6" width="9.3046875" style="1" bestFit="1" customWidth="1"/>
    <col min="7" max="7" width="8.921875" style="1" bestFit="1" customWidth="1"/>
    <col min="8" max="8" width="9.921875" style="1" bestFit="1" customWidth="1"/>
    <col min="9" max="9" width="8.921875" style="1" bestFit="1" customWidth="1"/>
    <col min="10" max="10" width="9.921875" style="1" bestFit="1" customWidth="1"/>
    <col min="11" max="12" width="8.921875" style="1" bestFit="1" customWidth="1"/>
    <col min="13" max="16384" width="8.921875" style="1"/>
  </cols>
  <sheetData>
    <row r="2" spans="1:14" ht="24" customHeight="1">
      <c r="B2" s="409" t="s">
        <v>326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</row>
    <row r="3" spans="1:14" ht="23.25" customHeight="1">
      <c r="B3" s="410" t="s">
        <v>470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320"/>
    </row>
    <row r="4" spans="1:14" ht="23.25" customHeight="1">
      <c r="B4" s="458" t="s">
        <v>459</v>
      </c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321"/>
    </row>
    <row r="5" spans="1:14" ht="30.75" customHeight="1">
      <c r="B5" s="411" t="s">
        <v>458</v>
      </c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320"/>
    </row>
    <row r="6" spans="1:14" s="191" customFormat="1" ht="23.25" customHeight="1">
      <c r="B6" s="191" t="s">
        <v>174</v>
      </c>
      <c r="E6" s="192"/>
      <c r="L6" s="191" t="s">
        <v>175</v>
      </c>
    </row>
    <row r="7" spans="1:14" ht="18.600000000000001" thickBot="1">
      <c r="D7" s="322"/>
    </row>
    <row r="8" spans="1:14" ht="18.600000000000001" thickTop="1">
      <c r="B8" s="415" t="s">
        <v>80</v>
      </c>
      <c r="C8" s="412"/>
      <c r="D8" s="412" t="s">
        <v>81</v>
      </c>
      <c r="E8" s="412" t="s">
        <v>82</v>
      </c>
      <c r="F8" s="412" t="s">
        <v>83</v>
      </c>
      <c r="G8" s="412" t="s">
        <v>84</v>
      </c>
      <c r="H8" s="412"/>
      <c r="I8" s="412" t="s">
        <v>101</v>
      </c>
      <c r="J8" s="412"/>
      <c r="K8" s="412" t="s">
        <v>102</v>
      </c>
      <c r="L8" s="412"/>
      <c r="M8" s="323" t="s">
        <v>85</v>
      </c>
    </row>
    <row r="9" spans="1:14" ht="35.25" customHeight="1">
      <c r="B9" s="193" t="s">
        <v>86</v>
      </c>
      <c r="C9" s="194" t="s">
        <v>87</v>
      </c>
      <c r="D9" s="416"/>
      <c r="E9" s="416"/>
      <c r="F9" s="416"/>
      <c r="G9" s="194" t="s">
        <v>88</v>
      </c>
      <c r="H9" s="194" t="s">
        <v>89</v>
      </c>
      <c r="I9" s="194" t="s">
        <v>88</v>
      </c>
      <c r="J9" s="194" t="s">
        <v>89</v>
      </c>
      <c r="K9" s="194" t="s">
        <v>88</v>
      </c>
      <c r="L9" s="194" t="s">
        <v>89</v>
      </c>
      <c r="M9" s="324"/>
    </row>
    <row r="10" spans="1:14">
      <c r="B10" s="193" t="s">
        <v>90</v>
      </c>
      <c r="C10" s="194" t="s">
        <v>91</v>
      </c>
      <c r="D10" s="194" t="s">
        <v>92</v>
      </c>
      <c r="E10" s="194" t="s">
        <v>93</v>
      </c>
      <c r="F10" s="194">
        <v>1</v>
      </c>
      <c r="G10" s="194">
        <v>2</v>
      </c>
      <c r="H10" s="194" t="s">
        <v>94</v>
      </c>
      <c r="I10" s="194">
        <v>4</v>
      </c>
      <c r="J10" s="194" t="s">
        <v>95</v>
      </c>
      <c r="K10" s="194">
        <v>6</v>
      </c>
      <c r="L10" s="194" t="s">
        <v>96</v>
      </c>
      <c r="M10" s="238" t="s">
        <v>97</v>
      </c>
    </row>
    <row r="11" spans="1:14">
      <c r="B11" s="325"/>
      <c r="C11" s="326"/>
      <c r="D11" s="327" t="s">
        <v>98</v>
      </c>
      <c r="E11" s="327"/>
      <c r="F11" s="328"/>
      <c r="G11" s="328"/>
      <c r="H11" s="328"/>
      <c r="I11" s="328"/>
      <c r="J11" s="328"/>
      <c r="K11" s="329"/>
      <c r="L11" s="330"/>
      <c r="M11" s="331"/>
    </row>
    <row r="12" spans="1:14" s="210" customFormat="1">
      <c r="B12" s="332"/>
      <c r="C12" s="333"/>
      <c r="D12" s="334" t="s">
        <v>241</v>
      </c>
      <c r="E12" s="333"/>
      <c r="F12" s="335"/>
      <c r="G12" s="335"/>
      <c r="H12" s="335"/>
      <c r="I12" s="335"/>
      <c r="J12" s="335"/>
      <c r="K12" s="335"/>
      <c r="L12" s="335"/>
      <c r="M12" s="336"/>
    </row>
    <row r="13" spans="1:14" s="210" customFormat="1">
      <c r="B13" s="337"/>
      <c r="C13" s="338"/>
      <c r="D13" s="339"/>
      <c r="E13" s="340"/>
      <c r="F13" s="341"/>
      <c r="G13" s="342"/>
      <c r="H13" s="342"/>
      <c r="I13" s="342"/>
      <c r="J13" s="335"/>
      <c r="K13" s="335"/>
      <c r="L13" s="335"/>
      <c r="M13" s="336"/>
    </row>
    <row r="14" spans="1:14" s="210" customFormat="1">
      <c r="B14" s="337"/>
      <c r="C14" s="338"/>
      <c r="D14" s="339"/>
      <c r="E14" s="340"/>
      <c r="F14" s="343"/>
      <c r="G14" s="342"/>
      <c r="H14" s="342"/>
      <c r="I14" s="342"/>
      <c r="J14" s="335"/>
      <c r="K14" s="335"/>
      <c r="L14" s="335"/>
      <c r="M14" s="336"/>
    </row>
    <row r="15" spans="1:14">
      <c r="A15" s="344"/>
      <c r="B15" s="337"/>
      <c r="C15" s="345"/>
      <c r="D15" s="339"/>
      <c r="E15" s="340"/>
      <c r="F15" s="346"/>
      <c r="G15" s="347"/>
      <c r="H15" s="347"/>
      <c r="I15" s="347"/>
      <c r="J15" s="348"/>
      <c r="K15" s="348"/>
      <c r="L15" s="348"/>
      <c r="M15" s="349"/>
    </row>
    <row r="16" spans="1:14">
      <c r="B16" s="337"/>
      <c r="C16" s="345"/>
      <c r="D16" s="339"/>
      <c r="E16" s="340"/>
      <c r="F16" s="346"/>
      <c r="G16" s="350"/>
      <c r="H16" s="350"/>
      <c r="I16" s="350"/>
      <c r="J16" s="350"/>
      <c r="K16" s="350"/>
      <c r="L16" s="350"/>
      <c r="M16" s="349"/>
    </row>
    <row r="17" spans="2:13">
      <c r="B17" s="337"/>
      <c r="C17" s="345"/>
      <c r="D17" s="339"/>
      <c r="E17" s="340"/>
      <c r="F17" s="346"/>
      <c r="G17" s="350"/>
      <c r="H17" s="342"/>
      <c r="I17" s="350"/>
      <c r="J17" s="350"/>
      <c r="K17" s="350"/>
      <c r="L17" s="350"/>
      <c r="M17" s="349"/>
    </row>
    <row r="18" spans="2:13">
      <c r="B18" s="337"/>
      <c r="C18" s="345"/>
      <c r="D18" s="339"/>
      <c r="E18" s="340"/>
      <c r="F18" s="346"/>
      <c r="G18" s="350"/>
      <c r="H18" s="350"/>
      <c r="I18" s="350"/>
      <c r="J18" s="350"/>
      <c r="K18" s="350"/>
      <c r="L18" s="350"/>
      <c r="M18" s="349"/>
    </row>
    <row r="19" spans="2:13">
      <c r="B19" s="337"/>
      <c r="C19" s="345"/>
      <c r="D19" s="339"/>
      <c r="E19" s="340"/>
      <c r="F19" s="346"/>
      <c r="G19" s="350"/>
      <c r="H19" s="350"/>
      <c r="I19" s="350"/>
      <c r="J19" s="350"/>
      <c r="K19" s="350"/>
      <c r="L19" s="350"/>
      <c r="M19" s="349"/>
    </row>
    <row r="20" spans="2:13">
      <c r="B20" s="337"/>
      <c r="C20" s="345"/>
      <c r="D20" s="339"/>
      <c r="E20" s="340"/>
      <c r="F20" s="346"/>
      <c r="G20" s="350"/>
      <c r="H20" s="350"/>
      <c r="I20" s="350"/>
      <c r="J20" s="350"/>
      <c r="K20" s="350"/>
      <c r="L20" s="350"/>
      <c r="M20" s="349"/>
    </row>
    <row r="21" spans="2:13">
      <c r="B21" s="337"/>
      <c r="C21" s="345"/>
      <c r="D21" s="339"/>
      <c r="E21" s="340"/>
      <c r="F21" s="346"/>
      <c r="G21" s="350"/>
      <c r="H21" s="342"/>
      <c r="I21" s="350"/>
      <c r="J21" s="350"/>
      <c r="K21" s="350"/>
      <c r="L21" s="350"/>
      <c r="M21" s="349"/>
    </row>
    <row r="22" spans="2:13">
      <c r="B22" s="351"/>
      <c r="C22" s="352"/>
      <c r="D22" s="353" t="s">
        <v>99</v>
      </c>
      <c r="E22" s="353"/>
      <c r="F22" s="354"/>
      <c r="G22" s="355"/>
      <c r="H22" s="355"/>
      <c r="I22" s="355"/>
      <c r="J22" s="355"/>
      <c r="K22" s="356"/>
      <c r="L22" s="356"/>
      <c r="M22" s="357"/>
    </row>
    <row r="23" spans="2:13" ht="18.600000000000001" thickBot="1"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8"/>
    </row>
    <row r="24" spans="2:13" ht="18.600000000000001" thickTop="1"/>
  </sheetData>
  <mergeCells count="11">
    <mergeCell ref="B2:M2"/>
    <mergeCell ref="B3:M3"/>
    <mergeCell ref="B5:M5"/>
    <mergeCell ref="B4:M4"/>
    <mergeCell ref="B8:C8"/>
    <mergeCell ref="D8:D9"/>
    <mergeCell ref="E8:E9"/>
    <mergeCell ref="F8:F9"/>
    <mergeCell ref="G8:H8"/>
    <mergeCell ref="I8:J8"/>
    <mergeCell ref="K8:L8"/>
  </mergeCells>
  <phoneticPr fontId="11" type="noConversion"/>
  <pageMargins left="0.75" right="0.75" top="1" bottom="1" header="0.5" footer="0.5"/>
  <pageSetup orientation="portrait" horizontalDpi="300" verticalDpi="300" r:id="rId1"/>
  <headerFooter alignWithMargins="0">
    <oddFooter>&amp;C32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2:K17"/>
  <sheetViews>
    <sheetView topLeftCell="A2" zoomScaleNormal="100" workbookViewId="0">
      <selection activeCell="H1048572" sqref="H1048572"/>
    </sheetView>
  </sheetViews>
  <sheetFormatPr defaultColWidth="8.765625" defaultRowHeight="18"/>
  <cols>
    <col min="1" max="1" width="1.07421875" style="1" customWidth="1"/>
    <col min="2" max="2" width="10.3046875" style="1" customWidth="1"/>
    <col min="3" max="3" width="9.61328125" style="1" customWidth="1"/>
    <col min="4" max="4" width="10.69140625" style="1" customWidth="1"/>
    <col min="5" max="5" width="31.07421875" style="1" customWidth="1"/>
    <col min="6" max="6" width="8.3046875" style="1" customWidth="1"/>
    <col min="7" max="7" width="8" style="1" customWidth="1"/>
    <col min="8" max="16384" width="8.765625" style="1"/>
  </cols>
  <sheetData>
    <row r="2" spans="2:11" ht="32.25" customHeight="1">
      <c r="B2" s="400" t="s">
        <v>242</v>
      </c>
      <c r="C2" s="400"/>
      <c r="D2" s="400"/>
      <c r="E2" s="400"/>
      <c r="F2" s="400"/>
      <c r="G2" s="400"/>
      <c r="H2" s="400"/>
      <c r="I2" s="400"/>
      <c r="J2" s="400"/>
      <c r="K2" s="400"/>
    </row>
    <row r="3" spans="2:11" ht="32.25" customHeight="1">
      <c r="B3" s="399" t="s">
        <v>447</v>
      </c>
      <c r="C3" s="399"/>
      <c r="D3" s="399"/>
      <c r="E3" s="399"/>
      <c r="F3" s="399"/>
      <c r="G3" s="399"/>
      <c r="H3" s="399"/>
      <c r="I3" s="399"/>
      <c r="J3" s="399"/>
      <c r="K3" s="399"/>
    </row>
    <row r="4" spans="2:11" ht="18.600000000000001" thickBot="1"/>
    <row r="5" spans="2:11" ht="19.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329</v>
      </c>
      <c r="G5" s="441" t="s">
        <v>122</v>
      </c>
      <c r="H5" s="444" t="s">
        <v>243</v>
      </c>
      <c r="I5" s="446"/>
      <c r="J5" s="446"/>
      <c r="K5" s="445"/>
    </row>
    <row r="6" spans="2:11">
      <c r="B6" s="440"/>
      <c r="C6" s="2" t="s">
        <v>86</v>
      </c>
      <c r="D6" s="2" t="s">
        <v>87</v>
      </c>
      <c r="E6" s="442"/>
      <c r="F6" s="442"/>
      <c r="G6" s="442"/>
      <c r="H6" s="2">
        <v>334</v>
      </c>
      <c r="I6" s="3">
        <v>338</v>
      </c>
      <c r="J6" s="3">
        <v>214</v>
      </c>
      <c r="K6" s="4">
        <v>111</v>
      </c>
    </row>
    <row r="7" spans="2:11">
      <c r="B7" s="5"/>
      <c r="C7" s="6"/>
      <c r="D7" s="6"/>
      <c r="E7" s="7" t="s">
        <v>209</v>
      </c>
      <c r="F7" s="6"/>
      <c r="G7" s="6"/>
      <c r="H7" s="6"/>
      <c r="I7" s="8"/>
      <c r="J7" s="8"/>
      <c r="K7" s="9"/>
    </row>
    <row r="8" spans="2:11">
      <c r="B8" s="10"/>
      <c r="C8" s="11"/>
      <c r="D8" s="11"/>
      <c r="E8" s="12" t="s">
        <v>210</v>
      </c>
      <c r="F8" s="11"/>
      <c r="G8" s="13"/>
      <c r="H8" s="13"/>
      <c r="I8" s="13"/>
      <c r="J8" s="13"/>
      <c r="K8" s="14"/>
    </row>
    <row r="9" spans="2:11">
      <c r="B9" s="10"/>
      <c r="C9" s="11" t="s">
        <v>31</v>
      </c>
      <c r="D9" s="15" t="s">
        <v>20</v>
      </c>
      <c r="E9" s="11" t="s">
        <v>244</v>
      </c>
      <c r="F9" s="16"/>
      <c r="G9" s="17"/>
      <c r="H9" s="17"/>
      <c r="I9" s="18"/>
      <c r="J9" s="18"/>
      <c r="K9" s="19"/>
    </row>
    <row r="10" spans="2:11">
      <c r="B10" s="10"/>
      <c r="C10" s="11" t="s">
        <v>31</v>
      </c>
      <c r="D10" s="15" t="s">
        <v>20</v>
      </c>
      <c r="E10" s="11" t="s">
        <v>223</v>
      </c>
      <c r="F10" s="16"/>
      <c r="G10" s="17"/>
      <c r="H10" s="17"/>
      <c r="I10" s="17"/>
      <c r="J10" s="17"/>
      <c r="K10" s="20"/>
    </row>
    <row r="11" spans="2:11">
      <c r="B11" s="10"/>
      <c r="C11" s="11" t="s">
        <v>21</v>
      </c>
      <c r="D11" s="15" t="s">
        <v>20</v>
      </c>
      <c r="E11" s="11" t="s">
        <v>245</v>
      </c>
      <c r="F11" s="16"/>
      <c r="G11" s="17"/>
      <c r="H11" s="17"/>
      <c r="I11" s="17"/>
      <c r="J11" s="17"/>
      <c r="K11" s="20"/>
    </row>
    <row r="12" spans="2:11">
      <c r="B12" s="10"/>
      <c r="C12" s="11" t="s">
        <v>17</v>
      </c>
      <c r="D12" s="15" t="s">
        <v>20</v>
      </c>
      <c r="E12" s="11" t="s">
        <v>246</v>
      </c>
      <c r="F12" s="16"/>
      <c r="G12" s="17"/>
      <c r="H12" s="17"/>
      <c r="I12" s="17"/>
      <c r="J12" s="17"/>
      <c r="K12" s="20"/>
    </row>
    <row r="13" spans="2:11">
      <c r="B13" s="10"/>
      <c r="C13" s="11"/>
      <c r="D13" s="11"/>
      <c r="E13" s="21" t="s">
        <v>207</v>
      </c>
      <c r="F13" s="16"/>
      <c r="G13" s="13"/>
      <c r="H13" s="13"/>
      <c r="I13" s="13"/>
      <c r="J13" s="13"/>
      <c r="K13" s="14"/>
    </row>
    <row r="14" spans="2:11">
      <c r="B14" s="10"/>
      <c r="C14" s="11"/>
      <c r="D14" s="11"/>
      <c r="E14" s="11" t="s">
        <v>247</v>
      </c>
      <c r="F14" s="16"/>
      <c r="G14" s="17"/>
      <c r="H14" s="11"/>
      <c r="I14" s="22"/>
      <c r="J14" s="22"/>
      <c r="K14" s="19"/>
    </row>
    <row r="15" spans="2:11">
      <c r="B15" s="10"/>
      <c r="C15" s="11"/>
      <c r="D15" s="11"/>
      <c r="E15" s="23" t="s">
        <v>248</v>
      </c>
      <c r="F15" s="11"/>
      <c r="G15" s="11"/>
      <c r="H15" s="11"/>
      <c r="I15" s="22"/>
      <c r="J15" s="22"/>
      <c r="K15" s="19"/>
    </row>
    <row r="16" spans="2:11" ht="18.600000000000001" thickBot="1">
      <c r="B16" s="24"/>
      <c r="C16" s="25"/>
      <c r="D16" s="25"/>
      <c r="E16" s="25"/>
      <c r="F16" s="25"/>
      <c r="G16" s="25"/>
      <c r="H16" s="25"/>
      <c r="I16" s="26"/>
      <c r="J16" s="26"/>
      <c r="K16" s="27"/>
    </row>
    <row r="17" ht="18.600000000000001" thickTop="1"/>
  </sheetData>
  <mergeCells count="8">
    <mergeCell ref="B2:K2"/>
    <mergeCell ref="B3:K3"/>
    <mergeCell ref="G5:G6"/>
    <mergeCell ref="H5:K5"/>
    <mergeCell ref="B5:B6"/>
    <mergeCell ref="C5:D5"/>
    <mergeCell ref="E5:E6"/>
    <mergeCell ref="F5:F6"/>
  </mergeCells>
  <phoneticPr fontId="11" type="noConversion"/>
  <pageMargins left="0.26" right="0.23" top="0.31" bottom="1" header="0.2" footer="0.5"/>
  <pageSetup paperSize="9" orientation="landscape" horizontalDpi="300" verticalDpi="300" r:id="rId1"/>
  <headerFooter alignWithMargins="0">
    <oddFooter>&amp;C33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2:L19"/>
  <sheetViews>
    <sheetView topLeftCell="A3" zoomScaleNormal="100" workbookViewId="0">
      <selection activeCell="E11" sqref="E11"/>
    </sheetView>
  </sheetViews>
  <sheetFormatPr defaultColWidth="8.765625" defaultRowHeight="18"/>
  <cols>
    <col min="1" max="1" width="2.07421875" style="1" customWidth="1"/>
    <col min="2" max="2" width="10.921875" style="1" customWidth="1"/>
    <col min="3" max="3" width="10" style="1" bestFit="1" customWidth="1"/>
    <col min="4" max="4" width="11.4609375" style="1" customWidth="1"/>
    <col min="5" max="5" width="30.23046875" style="1" customWidth="1"/>
    <col min="6" max="6" width="7.61328125" style="1" customWidth="1"/>
    <col min="7" max="7" width="7.69140625" style="1" customWidth="1"/>
    <col min="8" max="8" width="6.921875" style="1" customWidth="1"/>
    <col min="9" max="9" width="7.07421875" style="1" customWidth="1"/>
    <col min="10" max="10" width="6.4609375" style="1" customWidth="1"/>
    <col min="11" max="11" width="6.07421875" style="1" customWidth="1"/>
    <col min="12" max="12" width="5.921875" style="1" customWidth="1"/>
    <col min="13" max="16384" width="8.765625" style="1"/>
  </cols>
  <sheetData>
    <row r="2" spans="2:12" ht="31.5" customHeight="1">
      <c r="B2" s="400" t="s">
        <v>249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2:12">
      <c r="B3" s="399" t="s">
        <v>448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</row>
    <row r="4" spans="2:12" ht="18.600000000000001" thickBot="1"/>
    <row r="5" spans="2:12" ht="19.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212</v>
      </c>
      <c r="G5" s="441" t="s">
        <v>122</v>
      </c>
      <c r="H5" s="444" t="s">
        <v>252</v>
      </c>
      <c r="I5" s="446"/>
      <c r="J5" s="446"/>
      <c r="K5" s="445"/>
    </row>
    <row r="6" spans="2:12">
      <c r="B6" s="440"/>
      <c r="C6" s="2" t="s">
        <v>86</v>
      </c>
      <c r="D6" s="2" t="s">
        <v>87</v>
      </c>
      <c r="E6" s="442"/>
      <c r="F6" s="442"/>
      <c r="G6" s="442"/>
      <c r="H6" s="2">
        <v>334</v>
      </c>
      <c r="I6" s="3">
        <v>338</v>
      </c>
      <c r="J6" s="3">
        <v>214</v>
      </c>
      <c r="K6" s="4">
        <v>111</v>
      </c>
    </row>
    <row r="7" spans="2:12">
      <c r="B7" s="5"/>
      <c r="C7" s="6"/>
      <c r="D7" s="6"/>
      <c r="E7" s="7" t="s">
        <v>209</v>
      </c>
      <c r="F7" s="6"/>
      <c r="G7" s="6"/>
      <c r="H7" s="6"/>
      <c r="I7" s="8"/>
      <c r="J7" s="8"/>
      <c r="K7" s="9"/>
    </row>
    <row r="8" spans="2:12">
      <c r="B8" s="10"/>
      <c r="C8" s="11"/>
      <c r="D8" s="11"/>
      <c r="E8" s="12" t="s">
        <v>210</v>
      </c>
      <c r="F8" s="11"/>
      <c r="G8" s="13"/>
      <c r="H8" s="13"/>
      <c r="I8" s="13"/>
      <c r="J8" s="13"/>
      <c r="K8" s="14"/>
    </row>
    <row r="9" spans="2:12">
      <c r="B9" s="10"/>
      <c r="C9" s="11" t="s">
        <v>31</v>
      </c>
      <c r="D9" s="15" t="s">
        <v>20</v>
      </c>
      <c r="E9" s="11" t="s">
        <v>453</v>
      </c>
      <c r="F9" s="16"/>
      <c r="G9" s="17"/>
      <c r="H9" s="17"/>
      <c r="I9" s="18"/>
      <c r="J9" s="18"/>
      <c r="K9" s="19"/>
    </row>
    <row r="10" spans="2:12">
      <c r="B10" s="10"/>
      <c r="C10" s="11" t="s">
        <v>31</v>
      </c>
      <c r="D10" s="15" t="s">
        <v>20</v>
      </c>
      <c r="E10" s="11" t="s">
        <v>223</v>
      </c>
      <c r="F10" s="16"/>
      <c r="G10" s="17"/>
      <c r="H10" s="17"/>
      <c r="I10" s="17"/>
      <c r="J10" s="17"/>
      <c r="K10" s="20"/>
    </row>
    <row r="11" spans="2:12">
      <c r="B11" s="10"/>
      <c r="C11" s="11" t="s">
        <v>21</v>
      </c>
      <c r="D11" s="15" t="s">
        <v>20</v>
      </c>
      <c r="E11" s="11" t="s">
        <v>454</v>
      </c>
      <c r="F11" s="16"/>
      <c r="G11" s="17"/>
      <c r="H11" s="17"/>
      <c r="I11" s="17"/>
      <c r="J11" s="17"/>
      <c r="K11" s="20"/>
    </row>
    <row r="12" spans="2:12">
      <c r="B12" s="10"/>
      <c r="C12" s="11" t="s">
        <v>4</v>
      </c>
      <c r="D12" s="28" t="s">
        <v>22</v>
      </c>
      <c r="E12" s="11" t="s">
        <v>18</v>
      </c>
      <c r="F12" s="16"/>
      <c r="G12" s="17"/>
      <c r="H12" s="17"/>
      <c r="I12" s="17"/>
      <c r="J12" s="17"/>
      <c r="K12" s="20"/>
    </row>
    <row r="13" spans="2:12">
      <c r="B13" s="10"/>
      <c r="C13" s="11" t="s">
        <v>12</v>
      </c>
      <c r="D13" s="15" t="s">
        <v>23</v>
      </c>
      <c r="E13" s="11" t="s">
        <v>250</v>
      </c>
      <c r="F13" s="16"/>
      <c r="G13" s="17"/>
      <c r="H13" s="17"/>
      <c r="I13" s="17"/>
      <c r="J13" s="17"/>
      <c r="K13" s="20"/>
    </row>
    <row r="14" spans="2:12">
      <c r="B14" s="10"/>
      <c r="C14" s="11" t="s">
        <v>17</v>
      </c>
      <c r="D14" s="15" t="s">
        <v>20</v>
      </c>
      <c r="E14" s="11" t="s">
        <v>251</v>
      </c>
      <c r="F14" s="16"/>
      <c r="G14" s="17"/>
      <c r="H14" s="17"/>
      <c r="I14" s="17"/>
      <c r="J14" s="17"/>
      <c r="K14" s="20"/>
    </row>
    <row r="15" spans="2:12">
      <c r="B15" s="10"/>
      <c r="C15" s="11"/>
      <c r="D15" s="11"/>
      <c r="E15" s="21" t="s">
        <v>207</v>
      </c>
      <c r="F15" s="11"/>
      <c r="G15" s="13"/>
      <c r="H15" s="13"/>
      <c r="I15" s="13"/>
      <c r="J15" s="13"/>
      <c r="K15" s="14"/>
    </row>
    <row r="16" spans="2:12">
      <c r="B16" s="10"/>
      <c r="C16" s="11"/>
      <c r="D16" s="11"/>
      <c r="E16" s="11" t="s">
        <v>253</v>
      </c>
      <c r="F16" s="16"/>
      <c r="G16" s="17"/>
      <c r="H16" s="11"/>
      <c r="I16" s="22"/>
      <c r="J16" s="22"/>
      <c r="K16" s="19"/>
    </row>
    <row r="17" spans="2:11">
      <c r="B17" s="10"/>
      <c r="C17" s="11"/>
      <c r="D17" s="11"/>
      <c r="E17" s="23" t="s">
        <v>248</v>
      </c>
      <c r="F17" s="11"/>
      <c r="G17" s="11"/>
      <c r="H17" s="11"/>
      <c r="I17" s="22"/>
      <c r="J17" s="22"/>
      <c r="K17" s="19"/>
    </row>
    <row r="18" spans="2:11" ht="18.600000000000001" thickBot="1">
      <c r="B18" s="24"/>
      <c r="C18" s="25"/>
      <c r="D18" s="25"/>
      <c r="E18" s="25"/>
      <c r="F18" s="25"/>
      <c r="G18" s="25"/>
      <c r="H18" s="25"/>
      <c r="I18" s="26"/>
      <c r="J18" s="26"/>
      <c r="K18" s="27"/>
    </row>
    <row r="19" spans="2:11" ht="18.600000000000001" thickTop="1"/>
  </sheetData>
  <mergeCells count="8">
    <mergeCell ref="B2:L2"/>
    <mergeCell ref="B3:L3"/>
    <mergeCell ref="H5:K5"/>
    <mergeCell ref="G5:G6"/>
    <mergeCell ref="B5:B6"/>
    <mergeCell ref="C5:D5"/>
    <mergeCell ref="E5:E6"/>
    <mergeCell ref="F5:F6"/>
  </mergeCells>
  <phoneticPr fontId="11" type="noConversion"/>
  <pageMargins left="0.19" right="0.75" top="0.25" bottom="1" header="0.18" footer="0.5"/>
  <pageSetup paperSize="9" orientation="landscape" horizontalDpi="300" verticalDpi="300" r:id="rId1"/>
  <headerFooter alignWithMargins="0">
    <oddFooter>&amp;C34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I16"/>
  <sheetViews>
    <sheetView tabSelected="1" zoomScale="85" zoomScaleNormal="85" workbookViewId="0">
      <selection activeCell="E9" sqref="E9"/>
    </sheetView>
  </sheetViews>
  <sheetFormatPr defaultColWidth="8.765625" defaultRowHeight="18"/>
  <cols>
    <col min="1" max="1" width="1.69140625" style="1" customWidth="1"/>
    <col min="2" max="2" width="10.61328125" style="1" customWidth="1"/>
    <col min="3" max="3" width="10.69140625" style="1" customWidth="1"/>
    <col min="4" max="4" width="8.765625" style="1"/>
    <col min="5" max="5" width="29.765625" style="1" customWidth="1"/>
    <col min="6" max="16384" width="8.765625" style="1"/>
  </cols>
  <sheetData>
    <row r="2" spans="2:9" ht="30.75" customHeight="1">
      <c r="C2" s="400" t="s">
        <v>254</v>
      </c>
      <c r="D2" s="400"/>
      <c r="E2" s="400"/>
      <c r="F2" s="400"/>
      <c r="G2" s="400"/>
      <c r="H2" s="400"/>
      <c r="I2" s="400"/>
    </row>
    <row r="3" spans="2:9">
      <c r="C3" s="399" t="s">
        <v>449</v>
      </c>
      <c r="D3" s="399"/>
      <c r="E3" s="399"/>
      <c r="F3" s="399"/>
      <c r="G3" s="399"/>
      <c r="H3" s="399"/>
      <c r="I3" s="399"/>
    </row>
    <row r="4" spans="2:9" ht="18.600000000000001" thickBot="1"/>
    <row r="5" spans="2:9" ht="19.5" customHeight="1" thickTop="1">
      <c r="B5" s="439" t="s">
        <v>203</v>
      </c>
      <c r="C5" s="438" t="s">
        <v>80</v>
      </c>
      <c r="D5" s="438"/>
      <c r="E5" s="441" t="s">
        <v>81</v>
      </c>
      <c r="F5" s="441" t="s">
        <v>212</v>
      </c>
      <c r="G5" s="403" t="s">
        <v>255</v>
      </c>
      <c r="H5" s="403"/>
      <c r="I5" s="406"/>
    </row>
    <row r="6" spans="2:9" ht="34.799999999999997">
      <c r="B6" s="440"/>
      <c r="C6" s="2" t="s">
        <v>86</v>
      </c>
      <c r="D6" s="2" t="s">
        <v>87</v>
      </c>
      <c r="E6" s="442"/>
      <c r="F6" s="442"/>
      <c r="G6" s="2" t="s">
        <v>88</v>
      </c>
      <c r="H6" s="2" t="s">
        <v>83</v>
      </c>
      <c r="I6" s="4" t="s">
        <v>89</v>
      </c>
    </row>
    <row r="7" spans="2:9">
      <c r="B7" s="29"/>
      <c r="C7" s="30" t="s">
        <v>256</v>
      </c>
      <c r="D7" s="31" t="s">
        <v>24</v>
      </c>
      <c r="E7" s="30" t="s">
        <v>288</v>
      </c>
      <c r="F7" s="32"/>
      <c r="G7" s="33"/>
      <c r="H7" s="33"/>
      <c r="I7" s="34"/>
    </row>
    <row r="8" spans="2:9">
      <c r="B8" s="35"/>
      <c r="C8" s="36" t="s">
        <v>257</v>
      </c>
      <c r="D8" s="37" t="s">
        <v>25</v>
      </c>
      <c r="E8" s="36" t="s">
        <v>262</v>
      </c>
      <c r="F8" s="32"/>
      <c r="G8" s="38"/>
      <c r="H8" s="38"/>
      <c r="I8" s="34"/>
    </row>
    <row r="9" spans="2:9">
      <c r="B9" s="35"/>
      <c r="C9" s="36" t="s">
        <v>258</v>
      </c>
      <c r="D9" s="37" t="s">
        <v>26</v>
      </c>
      <c r="E9" s="36" t="s">
        <v>263</v>
      </c>
      <c r="F9" s="32"/>
      <c r="G9" s="38"/>
      <c r="H9" s="38"/>
      <c r="I9" s="34"/>
    </row>
    <row r="10" spans="2:9">
      <c r="B10" s="35"/>
      <c r="C10" s="36" t="s">
        <v>259</v>
      </c>
      <c r="D10" s="39" t="s">
        <v>27</v>
      </c>
      <c r="E10" s="36" t="s">
        <v>264</v>
      </c>
      <c r="F10" s="32"/>
      <c r="G10" s="38"/>
      <c r="H10" s="38"/>
      <c r="I10" s="34"/>
    </row>
    <row r="11" spans="2:9">
      <c r="B11" s="35"/>
      <c r="C11" s="36" t="s">
        <v>260</v>
      </c>
      <c r="D11" s="39" t="s">
        <v>28</v>
      </c>
      <c r="E11" s="36" t="s">
        <v>455</v>
      </c>
      <c r="F11" s="32"/>
      <c r="G11" s="38"/>
      <c r="H11" s="38"/>
      <c r="I11" s="34"/>
    </row>
    <row r="12" spans="2:9">
      <c r="B12" s="35"/>
      <c r="C12" s="36" t="s">
        <v>261</v>
      </c>
      <c r="D12" s="39" t="s">
        <v>29</v>
      </c>
      <c r="E12" s="36" t="s">
        <v>265</v>
      </c>
      <c r="F12" s="32"/>
      <c r="G12" s="38"/>
      <c r="H12" s="38"/>
      <c r="I12" s="34"/>
    </row>
    <row r="13" spans="2:9">
      <c r="B13" s="35"/>
      <c r="C13" s="36"/>
      <c r="D13" s="36"/>
      <c r="E13" s="40" t="s">
        <v>135</v>
      </c>
      <c r="F13" s="36"/>
      <c r="G13" s="41"/>
      <c r="H13" s="42"/>
      <c r="I13" s="43"/>
    </row>
    <row r="14" spans="2:9">
      <c r="B14" s="35"/>
      <c r="C14" s="36"/>
      <c r="D14" s="36"/>
      <c r="E14" s="36" t="s">
        <v>266</v>
      </c>
      <c r="F14" s="44"/>
      <c r="G14" s="38"/>
      <c r="H14" s="38"/>
      <c r="I14" s="45"/>
    </row>
    <row r="15" spans="2:9" ht="18.600000000000001" thickBot="1">
      <c r="B15" s="46"/>
      <c r="C15" s="47"/>
      <c r="D15" s="47"/>
      <c r="E15" s="47"/>
      <c r="F15" s="47"/>
      <c r="G15" s="47"/>
      <c r="H15" s="47"/>
      <c r="I15" s="48"/>
    </row>
    <row r="16" spans="2:9" ht="18.600000000000001" thickTop="1"/>
  </sheetData>
  <mergeCells count="7">
    <mergeCell ref="C2:I2"/>
    <mergeCell ref="C3:I3"/>
    <mergeCell ref="B5:B6"/>
    <mergeCell ref="C5:D5"/>
    <mergeCell ref="E5:E6"/>
    <mergeCell ref="F5:F6"/>
    <mergeCell ref="G5:I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K19"/>
  <sheetViews>
    <sheetView topLeftCell="A2" zoomScale="85" zoomScaleNormal="85" workbookViewId="0">
      <selection activeCell="E8" sqref="E8"/>
    </sheetView>
  </sheetViews>
  <sheetFormatPr defaultColWidth="8.765625" defaultRowHeight="18"/>
  <cols>
    <col min="1" max="1" width="2.61328125" style="1" customWidth="1"/>
    <col min="2" max="2" width="11.69140625" style="1" customWidth="1"/>
    <col min="3" max="3" width="10.69140625" style="1" customWidth="1"/>
    <col min="4" max="4" width="8.765625" style="1"/>
    <col min="5" max="5" width="24.69140625" style="1" customWidth="1"/>
    <col min="6" max="16384" width="8.765625" style="1"/>
  </cols>
  <sheetData>
    <row r="2" spans="2:11" ht="30.75" customHeight="1">
      <c r="B2" s="400" t="s">
        <v>267</v>
      </c>
      <c r="C2" s="400"/>
      <c r="D2" s="400"/>
      <c r="E2" s="400"/>
      <c r="F2" s="400"/>
      <c r="G2" s="400"/>
      <c r="H2" s="400"/>
      <c r="I2" s="400"/>
      <c r="J2" s="400"/>
      <c r="K2" s="400"/>
    </row>
    <row r="3" spans="2:11">
      <c r="B3" s="399" t="s">
        <v>450</v>
      </c>
      <c r="C3" s="399"/>
      <c r="D3" s="399"/>
      <c r="E3" s="399"/>
      <c r="F3" s="399"/>
      <c r="G3" s="399"/>
      <c r="H3" s="399"/>
      <c r="I3" s="399"/>
      <c r="J3" s="399"/>
      <c r="K3" s="399"/>
    </row>
    <row r="4" spans="2:11" ht="18.600000000000001" thickBot="1"/>
    <row r="5" spans="2:11" ht="33.6" customHeight="1" thickTop="1">
      <c r="B5" s="401" t="s">
        <v>203</v>
      </c>
      <c r="C5" s="438" t="s">
        <v>80</v>
      </c>
      <c r="D5" s="438"/>
      <c r="E5" s="441" t="s">
        <v>81</v>
      </c>
      <c r="F5" s="441" t="s">
        <v>212</v>
      </c>
      <c r="G5" s="403" t="s">
        <v>1</v>
      </c>
      <c r="H5" s="403"/>
      <c r="I5" s="403"/>
      <c r="J5" s="403" t="s">
        <v>268</v>
      </c>
      <c r="K5" s="406"/>
    </row>
    <row r="6" spans="2:11" ht="34.799999999999997">
      <c r="B6" s="402"/>
      <c r="C6" s="2" t="s">
        <v>86</v>
      </c>
      <c r="D6" s="2" t="s">
        <v>87</v>
      </c>
      <c r="E6" s="442"/>
      <c r="F6" s="442"/>
      <c r="G6" s="2" t="s">
        <v>88</v>
      </c>
      <c r="H6" s="2" t="s">
        <v>83</v>
      </c>
      <c r="I6" s="2" t="s">
        <v>89</v>
      </c>
      <c r="J6" s="49">
        <v>521</v>
      </c>
      <c r="K6" s="4" t="s">
        <v>19</v>
      </c>
    </row>
    <row r="7" spans="2:11">
      <c r="B7" s="29"/>
      <c r="C7" s="30" t="s">
        <v>256</v>
      </c>
      <c r="D7" s="31" t="s">
        <v>24</v>
      </c>
      <c r="E7" s="30" t="s">
        <v>288</v>
      </c>
      <c r="F7" s="32"/>
      <c r="G7" s="33"/>
      <c r="H7" s="33"/>
      <c r="I7" s="33"/>
      <c r="J7" s="33"/>
      <c r="K7" s="50"/>
    </row>
    <row r="8" spans="2:11">
      <c r="B8" s="35"/>
      <c r="C8" s="36" t="s">
        <v>257</v>
      </c>
      <c r="D8" s="37" t="s">
        <v>25</v>
      </c>
      <c r="E8" s="36" t="s">
        <v>262</v>
      </c>
      <c r="F8" s="44"/>
      <c r="G8" s="38"/>
      <c r="H8" s="33"/>
      <c r="I8" s="33"/>
      <c r="J8" s="51"/>
      <c r="K8" s="52"/>
    </row>
    <row r="9" spans="2:11">
      <c r="B9" s="35"/>
      <c r="C9" s="36" t="s">
        <v>258</v>
      </c>
      <c r="D9" s="37" t="s">
        <v>26</v>
      </c>
      <c r="E9" s="36" t="s">
        <v>263</v>
      </c>
      <c r="F9" s="44"/>
      <c r="G9" s="38"/>
      <c r="H9" s="33"/>
      <c r="I9" s="33"/>
      <c r="J9" s="38"/>
      <c r="K9" s="52"/>
    </row>
    <row r="10" spans="2:11">
      <c r="B10" s="35"/>
      <c r="C10" s="36" t="s">
        <v>259</v>
      </c>
      <c r="D10" s="39" t="s">
        <v>27</v>
      </c>
      <c r="E10" s="36" t="s">
        <v>264</v>
      </c>
      <c r="F10" s="44"/>
      <c r="G10" s="38"/>
      <c r="H10" s="33"/>
      <c r="I10" s="33"/>
      <c r="J10" s="38"/>
      <c r="K10" s="52"/>
    </row>
    <row r="11" spans="2:11">
      <c r="B11" s="35"/>
      <c r="C11" s="36" t="s">
        <v>260</v>
      </c>
      <c r="D11" s="39" t="s">
        <v>28</v>
      </c>
      <c r="E11" s="30" t="s">
        <v>288</v>
      </c>
      <c r="F11" s="44"/>
      <c r="G11" s="38"/>
      <c r="H11" s="33"/>
      <c r="I11" s="33"/>
      <c r="J11" s="38"/>
      <c r="K11" s="52"/>
    </row>
    <row r="12" spans="2:11">
      <c r="B12" s="35"/>
      <c r="C12" s="36" t="s">
        <v>261</v>
      </c>
      <c r="D12" s="39" t="s">
        <v>29</v>
      </c>
      <c r="E12" s="36" t="s">
        <v>265</v>
      </c>
      <c r="F12" s="44"/>
      <c r="G12" s="38"/>
      <c r="H12" s="33"/>
      <c r="I12" s="33"/>
      <c r="J12" s="38"/>
      <c r="K12" s="52"/>
    </row>
    <row r="13" spans="2:11">
      <c r="B13" s="35"/>
      <c r="C13" s="36"/>
      <c r="D13" s="36"/>
      <c r="E13" s="36" t="s">
        <v>269</v>
      </c>
      <c r="F13" s="44"/>
      <c r="G13" s="38"/>
      <c r="H13" s="38"/>
      <c r="I13" s="38"/>
      <c r="J13" s="38"/>
      <c r="K13" s="52"/>
    </row>
    <row r="14" spans="2:11">
      <c r="B14" s="35"/>
      <c r="C14" s="36"/>
      <c r="D14" s="36"/>
      <c r="E14" s="21" t="s">
        <v>207</v>
      </c>
      <c r="F14" s="36"/>
      <c r="G14" s="41"/>
      <c r="H14" s="41"/>
      <c r="I14" s="41"/>
      <c r="J14" s="41"/>
      <c r="K14" s="52"/>
    </row>
    <row r="15" spans="2:11">
      <c r="B15" s="35"/>
      <c r="C15" s="36"/>
      <c r="D15" s="36"/>
      <c r="E15" s="36" t="s">
        <v>270</v>
      </c>
      <c r="F15" s="36"/>
      <c r="G15" s="38"/>
      <c r="H15" s="38"/>
      <c r="I15" s="38"/>
      <c r="J15" s="38"/>
      <c r="K15" s="52"/>
    </row>
    <row r="16" spans="2:11">
      <c r="B16" s="35"/>
      <c r="C16" s="36"/>
      <c r="D16" s="36"/>
      <c r="E16" s="36" t="s">
        <v>271</v>
      </c>
      <c r="F16" s="36"/>
      <c r="G16" s="38"/>
      <c r="H16" s="38"/>
      <c r="I16" s="38"/>
      <c r="J16" s="38"/>
      <c r="K16" s="52"/>
    </row>
    <row r="17" spans="2:11">
      <c r="B17" s="35"/>
      <c r="C17" s="36"/>
      <c r="D17" s="36"/>
      <c r="E17" s="36" t="s">
        <v>272</v>
      </c>
      <c r="F17" s="36"/>
      <c r="G17" s="38"/>
      <c r="H17" s="38"/>
      <c r="I17" s="38"/>
      <c r="J17" s="38"/>
      <c r="K17" s="52"/>
    </row>
    <row r="18" spans="2:11" ht="18.600000000000001" thickBot="1">
      <c r="B18" s="46"/>
      <c r="C18" s="47"/>
      <c r="D18" s="47"/>
      <c r="E18" s="47"/>
      <c r="F18" s="47"/>
      <c r="G18" s="47"/>
      <c r="H18" s="47"/>
      <c r="I18" s="47"/>
      <c r="J18" s="47"/>
      <c r="K18" s="48"/>
    </row>
    <row r="19" spans="2:11" ht="18.600000000000001" thickTop="1"/>
  </sheetData>
  <mergeCells count="8">
    <mergeCell ref="B5:B6"/>
    <mergeCell ref="B3:K3"/>
    <mergeCell ref="B2:K2"/>
    <mergeCell ref="J5:K5"/>
    <mergeCell ref="C5:D5"/>
    <mergeCell ref="E5:E6"/>
    <mergeCell ref="F5:F6"/>
    <mergeCell ref="G5:I5"/>
  </mergeCells>
  <phoneticPr fontId="11" type="noConversion"/>
  <pageMargins left="0.82" right="0.46" top="0.27" bottom="1" header="0.17" footer="0.5"/>
  <pageSetup paperSize="9" orientation="landscape" horizontalDpi="300" verticalDpi="300" r:id="rId1"/>
  <headerFooter alignWithMargins="0">
    <oddFooter>&amp;C35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B2:P23"/>
  <sheetViews>
    <sheetView zoomScale="85" zoomScaleNormal="85" workbookViewId="0">
      <selection activeCell="F23" sqref="F23"/>
    </sheetView>
  </sheetViews>
  <sheetFormatPr defaultColWidth="8.765625" defaultRowHeight="18"/>
  <cols>
    <col min="1" max="1" width="2.3828125" style="1" customWidth="1"/>
    <col min="2" max="2" width="11.07421875" style="1" customWidth="1"/>
    <col min="3" max="3" width="23" style="1" customWidth="1"/>
    <col min="4" max="4" width="8.07421875" style="1" customWidth="1"/>
    <col min="5" max="5" width="28.921875" style="1" customWidth="1"/>
    <col min="6" max="6" width="8" style="1" customWidth="1"/>
    <col min="7" max="7" width="8.07421875" style="1" customWidth="1"/>
    <col min="8" max="15" width="7.3046875" style="1" customWidth="1"/>
    <col min="16" max="16" width="6.4609375" style="1" customWidth="1"/>
    <col min="17" max="16384" width="8.765625" style="1"/>
  </cols>
  <sheetData>
    <row r="2" spans="2:16" ht="33" customHeight="1">
      <c r="B2" s="400" t="s">
        <v>273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3" spans="2:16" ht="33" customHeight="1">
      <c r="B3" s="399" t="s">
        <v>451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</row>
    <row r="4" spans="2:16" ht="18.600000000000001" thickBot="1"/>
    <row r="5" spans="2:16" ht="19.5" customHeight="1" thickTop="1">
      <c r="B5" s="401" t="s">
        <v>203</v>
      </c>
      <c r="C5" s="438" t="s">
        <v>80</v>
      </c>
      <c r="D5" s="438"/>
      <c r="E5" s="441" t="s">
        <v>81</v>
      </c>
      <c r="F5" s="441" t="s">
        <v>212</v>
      </c>
      <c r="G5" s="441" t="s">
        <v>122</v>
      </c>
      <c r="H5" s="444" t="s">
        <v>274</v>
      </c>
      <c r="I5" s="446"/>
      <c r="J5" s="446"/>
      <c r="K5" s="446"/>
      <c r="L5" s="446"/>
      <c r="M5" s="446"/>
      <c r="N5" s="451"/>
      <c r="O5" s="444" t="s">
        <v>275</v>
      </c>
      <c r="P5" s="445"/>
    </row>
    <row r="6" spans="2:16" ht="34.799999999999997">
      <c r="B6" s="402"/>
      <c r="C6" s="2" t="s">
        <v>86</v>
      </c>
      <c r="D6" s="2" t="s">
        <v>87</v>
      </c>
      <c r="E6" s="442"/>
      <c r="F6" s="442"/>
      <c r="G6" s="442"/>
      <c r="H6" s="2">
        <v>632</v>
      </c>
      <c r="I6" s="2">
        <v>635</v>
      </c>
      <c r="J6" s="2">
        <v>641</v>
      </c>
      <c r="K6" s="2">
        <v>642</v>
      </c>
      <c r="L6" s="2">
        <v>811</v>
      </c>
      <c r="M6" s="2">
        <v>821</v>
      </c>
      <c r="N6" s="2">
        <v>421</v>
      </c>
      <c r="O6" s="2">
        <v>511</v>
      </c>
      <c r="P6" s="4">
        <v>711</v>
      </c>
    </row>
    <row r="7" spans="2:16">
      <c r="B7" s="5"/>
      <c r="C7" s="6"/>
      <c r="D7" s="6"/>
      <c r="E7" s="7" t="s">
        <v>209</v>
      </c>
      <c r="F7" s="6"/>
      <c r="G7" s="6"/>
      <c r="H7" s="53"/>
      <c r="I7" s="53"/>
      <c r="J7" s="53"/>
      <c r="K7" s="53"/>
      <c r="L7" s="53"/>
      <c r="M7" s="53"/>
      <c r="N7" s="53"/>
      <c r="O7" s="53"/>
      <c r="P7" s="54"/>
    </row>
    <row r="8" spans="2:16">
      <c r="B8" s="10"/>
      <c r="C8" s="11"/>
      <c r="D8" s="11"/>
      <c r="E8" s="12" t="s">
        <v>210</v>
      </c>
      <c r="F8" s="11"/>
      <c r="G8" s="13"/>
      <c r="H8" s="17"/>
      <c r="I8" s="17"/>
      <c r="J8" s="17"/>
      <c r="K8" s="55"/>
      <c r="L8" s="55"/>
      <c r="M8" s="55"/>
      <c r="N8" s="55"/>
      <c r="O8" s="17"/>
      <c r="P8" s="20"/>
    </row>
    <row r="9" spans="2:16">
      <c r="B9" s="10"/>
      <c r="C9" s="11" t="s">
        <v>279</v>
      </c>
      <c r="D9" s="16" t="s">
        <v>30</v>
      </c>
      <c r="E9" s="11" t="s">
        <v>318</v>
      </c>
      <c r="F9" s="16"/>
      <c r="G9" s="17"/>
      <c r="H9" s="17"/>
      <c r="I9" s="17"/>
      <c r="J9" s="17"/>
      <c r="K9" s="55"/>
      <c r="L9" s="55"/>
      <c r="M9" s="55"/>
      <c r="N9" s="55"/>
      <c r="O9" s="17"/>
      <c r="P9" s="20"/>
    </row>
    <row r="10" spans="2:16">
      <c r="B10" s="10"/>
      <c r="C10" s="11" t="s">
        <v>279</v>
      </c>
      <c r="D10" s="16" t="s">
        <v>30</v>
      </c>
      <c r="E10" s="11" t="s">
        <v>319</v>
      </c>
      <c r="F10" s="16"/>
      <c r="G10" s="17"/>
      <c r="H10" s="17"/>
      <c r="I10" s="17"/>
      <c r="J10" s="17"/>
      <c r="K10" s="55"/>
      <c r="L10" s="55"/>
      <c r="M10" s="55"/>
      <c r="N10" s="55"/>
      <c r="O10" s="17"/>
      <c r="P10" s="20"/>
    </row>
    <row r="11" spans="2:16">
      <c r="B11" s="10"/>
      <c r="C11" s="11" t="s">
        <v>456</v>
      </c>
      <c r="D11" s="15" t="s">
        <v>29</v>
      </c>
      <c r="E11" s="11" t="s">
        <v>320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20"/>
    </row>
    <row r="12" spans="2:16">
      <c r="B12" s="10"/>
      <c r="C12" s="11" t="s">
        <v>280</v>
      </c>
      <c r="D12" s="15" t="s">
        <v>20</v>
      </c>
      <c r="E12" s="11" t="s">
        <v>321</v>
      </c>
      <c r="F12" s="16"/>
      <c r="G12" s="17"/>
      <c r="H12" s="17"/>
      <c r="I12" s="17"/>
      <c r="J12" s="17"/>
      <c r="K12" s="55"/>
      <c r="L12" s="55"/>
      <c r="M12" s="55"/>
      <c r="N12" s="55"/>
      <c r="O12" s="17"/>
      <c r="P12" s="20"/>
    </row>
    <row r="13" spans="2:16">
      <c r="B13" s="10"/>
      <c r="C13" s="11" t="s">
        <v>276</v>
      </c>
      <c r="D13" s="16" t="s">
        <v>20</v>
      </c>
      <c r="E13" s="11" t="s">
        <v>322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20"/>
    </row>
    <row r="14" spans="2:16">
      <c r="B14" s="10"/>
      <c r="C14" s="11" t="s">
        <v>277</v>
      </c>
      <c r="D14" s="16" t="s">
        <v>20</v>
      </c>
      <c r="E14" s="56" t="s">
        <v>323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20"/>
    </row>
    <row r="15" spans="2:16">
      <c r="B15" s="10"/>
      <c r="C15" s="11" t="s">
        <v>278</v>
      </c>
      <c r="D15" s="16" t="s">
        <v>20</v>
      </c>
      <c r="E15" s="11" t="s">
        <v>324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57"/>
    </row>
    <row r="16" spans="2:16">
      <c r="B16" s="10"/>
      <c r="C16" s="11"/>
      <c r="D16" s="16" t="s">
        <v>20</v>
      </c>
      <c r="E16" s="11" t="s">
        <v>325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57"/>
    </row>
    <row r="17" spans="2:16">
      <c r="B17" s="10"/>
      <c r="C17" s="11"/>
      <c r="D17" s="16"/>
      <c r="E17" s="11" t="s">
        <v>314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57"/>
    </row>
    <row r="18" spans="2:16">
      <c r="B18" s="10"/>
      <c r="C18" s="11"/>
      <c r="D18" s="11"/>
      <c r="E18" s="11" t="s">
        <v>281</v>
      </c>
      <c r="F18" s="16"/>
      <c r="G18" s="58"/>
      <c r="H18" s="13"/>
      <c r="I18" s="13"/>
      <c r="J18" s="13"/>
      <c r="K18" s="13"/>
      <c r="L18" s="13"/>
      <c r="M18" s="13"/>
      <c r="N18" s="13"/>
      <c r="O18" s="13"/>
      <c r="P18" s="14"/>
    </row>
    <row r="19" spans="2:16">
      <c r="B19" s="10"/>
      <c r="C19" s="11"/>
      <c r="D19" s="11"/>
      <c r="E19" s="11" t="s">
        <v>282</v>
      </c>
      <c r="F19" s="16"/>
      <c r="G19" s="58"/>
      <c r="H19" s="17"/>
      <c r="I19" s="17"/>
      <c r="J19" s="17"/>
      <c r="K19" s="17"/>
      <c r="L19" s="17"/>
      <c r="M19" s="17"/>
      <c r="N19" s="17"/>
      <c r="O19" s="17"/>
      <c r="P19" s="20"/>
    </row>
    <row r="20" spans="2:16" ht="18.600000000000001" thickBot="1">
      <c r="B20" s="24"/>
      <c r="C20" s="25"/>
      <c r="D20" s="25"/>
      <c r="E20" s="25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7"/>
    </row>
    <row r="21" spans="2:16" ht="18.600000000000001" thickTop="1"/>
    <row r="23" spans="2:16">
      <c r="H23" s="59"/>
      <c r="J23" s="59"/>
    </row>
  </sheetData>
  <mergeCells count="9">
    <mergeCell ref="B2:P2"/>
    <mergeCell ref="B3:P3"/>
    <mergeCell ref="O5:P5"/>
    <mergeCell ref="G5:G6"/>
    <mergeCell ref="B5:B6"/>
    <mergeCell ref="C5:D5"/>
    <mergeCell ref="E5:E6"/>
    <mergeCell ref="F5:F6"/>
    <mergeCell ref="H5:N5"/>
  </mergeCells>
  <phoneticPr fontId="11" type="noConversion"/>
  <pageMargins left="0.24" right="0.18" top="0.43" bottom="1" header="0.25" footer="0.5"/>
  <pageSetup paperSize="9" orientation="landscape" horizontalDpi="300" verticalDpi="300" r:id="rId1"/>
  <headerFooter alignWithMargins="0">
    <oddFooter>&amp;C36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2:E23"/>
  <sheetViews>
    <sheetView zoomScale="85" zoomScaleNormal="85" workbookViewId="0">
      <selection activeCell="B11" sqref="B11"/>
    </sheetView>
  </sheetViews>
  <sheetFormatPr defaultColWidth="8.765625" defaultRowHeight="22.8"/>
  <cols>
    <col min="1" max="1" width="8.765625" style="358"/>
    <col min="2" max="2" width="50.921875" style="358" customWidth="1"/>
    <col min="3" max="3" width="28.3046875" style="359" customWidth="1"/>
    <col min="4" max="4" width="19.4609375" style="358" customWidth="1"/>
    <col min="5" max="16384" width="8.765625" style="358"/>
  </cols>
  <sheetData>
    <row r="2" spans="2:4">
      <c r="B2" s="400" t="s">
        <v>332</v>
      </c>
      <c r="C2" s="400"/>
      <c r="D2" s="400"/>
    </row>
    <row r="3" spans="2:4" ht="28.5" customHeight="1">
      <c r="B3" s="459" t="s">
        <v>471</v>
      </c>
      <c r="C3" s="459"/>
      <c r="D3" s="459"/>
    </row>
    <row r="4" spans="2:4" ht="23.4" thickBot="1"/>
    <row r="5" spans="2:4" ht="29.25" customHeight="1" thickTop="1">
      <c r="B5" s="360" t="s">
        <v>190</v>
      </c>
      <c r="C5" s="361"/>
      <c r="D5" s="362" t="s">
        <v>122</v>
      </c>
    </row>
    <row r="6" spans="2:4" ht="22.5" customHeight="1">
      <c r="B6" s="363" t="s">
        <v>333</v>
      </c>
      <c r="C6" s="364"/>
      <c r="D6" s="365"/>
    </row>
    <row r="7" spans="2:4" ht="22.5" customHeight="1">
      <c r="B7" s="363" t="s">
        <v>334</v>
      </c>
      <c r="C7" s="364"/>
      <c r="D7" s="365"/>
    </row>
    <row r="8" spans="2:4" ht="22.5" customHeight="1">
      <c r="B8" s="363" t="s">
        <v>335</v>
      </c>
      <c r="C8" s="366" t="s">
        <v>352</v>
      </c>
      <c r="D8" s="365"/>
    </row>
    <row r="9" spans="2:4" ht="22.5" customHeight="1">
      <c r="B9" s="363" t="s">
        <v>336</v>
      </c>
      <c r="C9" s="364"/>
      <c r="D9" s="365"/>
    </row>
    <row r="10" spans="2:4" ht="22.5" customHeight="1">
      <c r="B10" s="363" t="s">
        <v>337</v>
      </c>
      <c r="C10" s="367" t="s">
        <v>353</v>
      </c>
      <c r="D10" s="365"/>
    </row>
    <row r="11" spans="2:4" ht="22.5" customHeight="1">
      <c r="B11" s="368" t="s">
        <v>338</v>
      </c>
      <c r="C11" s="369"/>
      <c r="D11" s="365"/>
    </row>
    <row r="12" spans="2:4" ht="22.5" customHeight="1">
      <c r="B12" s="368" t="s">
        <v>339</v>
      </c>
      <c r="C12" s="369"/>
      <c r="D12" s="365"/>
    </row>
    <row r="13" spans="2:4" ht="22.5" customHeight="1">
      <c r="B13" s="368" t="s">
        <v>340</v>
      </c>
      <c r="C13" s="369"/>
      <c r="D13" s="365"/>
    </row>
    <row r="14" spans="2:4" ht="22.5" customHeight="1">
      <c r="B14" s="368" t="s">
        <v>341</v>
      </c>
      <c r="C14" s="369"/>
      <c r="D14" s="365"/>
    </row>
    <row r="15" spans="2:4" ht="22.5" customHeight="1">
      <c r="B15" s="368" t="s">
        <v>342</v>
      </c>
      <c r="C15" s="370" t="s">
        <v>351</v>
      </c>
      <c r="D15" s="365"/>
    </row>
    <row r="16" spans="2:4" ht="22.5" customHeight="1">
      <c r="B16" s="368" t="s">
        <v>343</v>
      </c>
      <c r="C16" s="369"/>
      <c r="D16" s="365"/>
    </row>
    <row r="17" spans="2:5" ht="22.5" customHeight="1">
      <c r="B17" s="368" t="s">
        <v>344</v>
      </c>
      <c r="C17" s="369"/>
      <c r="D17" s="365"/>
    </row>
    <row r="18" spans="2:5" ht="22.5" customHeight="1">
      <c r="B18" s="368" t="s">
        <v>345</v>
      </c>
      <c r="C18" s="370" t="s">
        <v>350</v>
      </c>
      <c r="D18" s="365"/>
    </row>
    <row r="19" spans="2:5" ht="22.5" customHeight="1">
      <c r="B19" s="368" t="s">
        <v>346</v>
      </c>
      <c r="C19" s="370" t="s">
        <v>349</v>
      </c>
      <c r="D19" s="365"/>
    </row>
    <row r="20" spans="2:5" ht="22.5" customHeight="1">
      <c r="B20" s="368" t="s">
        <v>347</v>
      </c>
      <c r="C20" s="369"/>
      <c r="D20" s="365"/>
    </row>
    <row r="21" spans="2:5" ht="22.5" customHeight="1">
      <c r="B21" s="368" t="s">
        <v>348</v>
      </c>
      <c r="C21" s="370" t="s">
        <v>354</v>
      </c>
      <c r="D21" s="365"/>
    </row>
    <row r="22" spans="2:5" ht="23.4" thickBot="1">
      <c r="B22" s="371"/>
      <c r="C22" s="372"/>
      <c r="D22" s="373"/>
    </row>
    <row r="23" spans="2:5" ht="23.4" thickTop="1">
      <c r="E23" s="374"/>
    </row>
  </sheetData>
  <mergeCells count="2"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transitionEvaluation="1" codeName="Sheet19"/>
  <dimension ref="B1:G116"/>
  <sheetViews>
    <sheetView topLeftCell="A94" zoomScale="115" zoomScaleNormal="115" workbookViewId="0">
      <selection activeCell="D37" sqref="D37"/>
    </sheetView>
  </sheetViews>
  <sheetFormatPr defaultColWidth="8.765625" defaultRowHeight="16.8"/>
  <cols>
    <col min="1" max="1" width="1.765625" style="64" customWidth="1"/>
    <col min="2" max="2" width="11" style="64" customWidth="1"/>
    <col min="3" max="3" width="11.07421875" style="64" customWidth="1"/>
    <col min="4" max="4" width="41.4609375" style="64" customWidth="1"/>
    <col min="5" max="6" width="11.07421875" style="63" customWidth="1"/>
    <col min="7" max="7" width="11.07421875" style="64" customWidth="1"/>
    <col min="8" max="16384" width="8.765625" style="64"/>
  </cols>
  <sheetData>
    <row r="1" spans="4:7">
      <c r="D1" s="61" t="s">
        <v>359</v>
      </c>
      <c r="E1" s="62"/>
    </row>
    <row r="2" spans="4:7" ht="11.25" customHeight="1" thickBot="1"/>
    <row r="3" spans="4:7" s="65" customFormat="1" ht="33.75" customHeight="1" thickTop="1">
      <c r="E3" s="66" t="s">
        <v>355</v>
      </c>
      <c r="F3" s="67" t="s">
        <v>356</v>
      </c>
      <c r="G3" s="68" t="s">
        <v>357</v>
      </c>
    </row>
    <row r="4" spans="4:7">
      <c r="D4" s="69"/>
      <c r="E4" s="70" t="s">
        <v>36</v>
      </c>
      <c r="F4" s="71">
        <v>120000</v>
      </c>
      <c r="G4" s="72"/>
    </row>
    <row r="5" spans="4:7">
      <c r="E5" s="73" t="s">
        <v>37</v>
      </c>
      <c r="F5" s="74">
        <v>2200000</v>
      </c>
      <c r="G5" s="75"/>
    </row>
    <row r="6" spans="4:7">
      <c r="D6" s="69"/>
      <c r="E6" s="73" t="s">
        <v>285</v>
      </c>
      <c r="F6" s="74">
        <v>56754</v>
      </c>
      <c r="G6" s="75"/>
    </row>
    <row r="7" spans="4:7">
      <c r="D7" s="76"/>
      <c r="E7" s="73" t="s">
        <v>286</v>
      </c>
      <c r="F7" s="74">
        <v>34678.216</v>
      </c>
      <c r="G7" s="75"/>
    </row>
    <row r="8" spans="4:7">
      <c r="E8" s="73" t="s">
        <v>283</v>
      </c>
      <c r="F8" s="74">
        <v>33269.637999999999</v>
      </c>
      <c r="G8" s="75"/>
    </row>
    <row r="9" spans="4:7">
      <c r="E9" s="73" t="s">
        <v>38</v>
      </c>
      <c r="F9" s="74">
        <v>950000</v>
      </c>
      <c r="G9" s="75"/>
    </row>
    <row r="10" spans="4:7">
      <c r="E10" s="73" t="s">
        <v>39</v>
      </c>
      <c r="F10" s="74">
        <v>1150000</v>
      </c>
      <c r="G10" s="75"/>
    </row>
    <row r="11" spans="4:7">
      <c r="E11" s="73" t="s">
        <v>40</v>
      </c>
      <c r="F11" s="74"/>
      <c r="G11" s="75">
        <v>400000</v>
      </c>
    </row>
    <row r="12" spans="4:7">
      <c r="E12" s="73" t="s">
        <v>41</v>
      </c>
      <c r="F12" s="74"/>
      <c r="G12" s="75">
        <v>45000</v>
      </c>
    </row>
    <row r="13" spans="4:7">
      <c r="D13" s="77"/>
      <c r="E13" s="73" t="s">
        <v>42</v>
      </c>
      <c r="F13" s="74"/>
      <c r="G13" s="75">
        <v>10000</v>
      </c>
    </row>
    <row r="14" spans="4:7">
      <c r="E14" s="73" t="s">
        <v>284</v>
      </c>
      <c r="F14" s="74"/>
      <c r="G14" s="75">
        <v>20000</v>
      </c>
    </row>
    <row r="15" spans="4:7">
      <c r="E15" s="73" t="s">
        <v>6</v>
      </c>
      <c r="F15" s="74">
        <v>12000</v>
      </c>
      <c r="G15" s="75"/>
    </row>
    <row r="16" spans="4:7">
      <c r="E16" s="73" t="s">
        <v>309</v>
      </c>
      <c r="F16" s="74"/>
      <c r="G16" s="75">
        <v>40000</v>
      </c>
    </row>
    <row r="17" spans="2:7">
      <c r="E17" s="73" t="s">
        <v>43</v>
      </c>
      <c r="F17" s="74"/>
      <c r="G17" s="75">
        <v>450000</v>
      </c>
    </row>
    <row r="18" spans="2:7">
      <c r="E18" s="73" t="s">
        <v>44</v>
      </c>
      <c r="F18" s="74"/>
      <c r="G18" s="75">
        <v>300000</v>
      </c>
    </row>
    <row r="19" spans="2:7">
      <c r="E19" s="73" t="s">
        <v>45</v>
      </c>
      <c r="F19" s="74">
        <v>7027.6</v>
      </c>
      <c r="G19" s="75"/>
    </row>
    <row r="20" spans="2:7">
      <c r="D20" s="77"/>
      <c r="E20" s="73" t="s">
        <v>46</v>
      </c>
      <c r="F20" s="74">
        <v>24400</v>
      </c>
      <c r="G20" s="75"/>
    </row>
    <row r="21" spans="2:7">
      <c r="E21" s="73" t="s">
        <v>47</v>
      </c>
      <c r="F21" s="74"/>
      <c r="G21" s="78">
        <v>1137900</v>
      </c>
    </row>
    <row r="22" spans="2:7">
      <c r="E22" s="73" t="s">
        <v>48</v>
      </c>
      <c r="F22" s="74"/>
      <c r="G22" s="79">
        <v>2185229.4539999999</v>
      </c>
    </row>
    <row r="23" spans="2:7" ht="21" thickBot="1">
      <c r="E23" s="80"/>
      <c r="F23" s="81">
        <f>SUM(F4:F22)</f>
        <v>4588129.4539999999</v>
      </c>
      <c r="G23" s="82">
        <f>SUM(G4:G22)</f>
        <v>4588129.4539999999</v>
      </c>
    </row>
    <row r="24" spans="2:7" ht="21" thickTop="1">
      <c r="E24" s="83"/>
      <c r="F24" s="84"/>
      <c r="G24" s="85"/>
    </row>
    <row r="25" spans="2:7" ht="21">
      <c r="B25" s="86" t="s">
        <v>358</v>
      </c>
      <c r="F25" s="84"/>
      <c r="G25" s="87"/>
    </row>
    <row r="26" spans="2:7" ht="21" thickBot="1">
      <c r="E26" s="88"/>
      <c r="F26" s="84"/>
      <c r="G26" s="89"/>
    </row>
    <row r="27" spans="2:7" ht="18" thickTop="1" thickBot="1">
      <c r="B27" s="90" t="s">
        <v>360</v>
      </c>
      <c r="C27" s="91" t="s">
        <v>361</v>
      </c>
      <c r="D27" s="91" t="s">
        <v>81</v>
      </c>
      <c r="E27" s="91" t="s">
        <v>362</v>
      </c>
      <c r="F27" s="91" t="s">
        <v>363</v>
      </c>
      <c r="G27" s="92" t="s">
        <v>364</v>
      </c>
    </row>
    <row r="28" spans="2:7">
      <c r="B28" s="93">
        <v>38931</v>
      </c>
      <c r="C28" s="94" t="s">
        <v>306</v>
      </c>
      <c r="D28" s="94" t="s">
        <v>365</v>
      </c>
      <c r="E28" s="95" t="s">
        <v>49</v>
      </c>
      <c r="F28" s="95" t="s">
        <v>36</v>
      </c>
      <c r="G28" s="96">
        <v>4000</v>
      </c>
    </row>
    <row r="29" spans="2:7" ht="20.25" customHeight="1">
      <c r="B29" s="97"/>
      <c r="C29" s="98"/>
      <c r="D29" s="98" t="s">
        <v>383</v>
      </c>
      <c r="E29" s="99" t="s">
        <v>50</v>
      </c>
      <c r="F29" s="99" t="s">
        <v>36</v>
      </c>
      <c r="G29" s="100">
        <v>400</v>
      </c>
    </row>
    <row r="30" spans="2:7" ht="17.25" customHeight="1">
      <c r="B30" s="97">
        <v>38931</v>
      </c>
      <c r="C30" s="98" t="s">
        <v>305</v>
      </c>
      <c r="D30" s="98" t="s">
        <v>384</v>
      </c>
      <c r="E30" s="99" t="s">
        <v>36</v>
      </c>
      <c r="F30" s="99" t="s">
        <v>37</v>
      </c>
      <c r="G30" s="100">
        <v>330000</v>
      </c>
    </row>
    <row r="31" spans="2:7">
      <c r="B31" s="97">
        <v>38934</v>
      </c>
      <c r="C31" s="98" t="s">
        <v>299</v>
      </c>
      <c r="D31" s="98" t="s">
        <v>385</v>
      </c>
      <c r="E31" s="99" t="s">
        <v>283</v>
      </c>
      <c r="F31" s="99" t="s">
        <v>284</v>
      </c>
      <c r="G31" s="100">
        <v>8100</v>
      </c>
    </row>
    <row r="32" spans="2:7">
      <c r="B32" s="97"/>
      <c r="C32" s="98" t="s">
        <v>399</v>
      </c>
      <c r="D32" s="98" t="s">
        <v>383</v>
      </c>
      <c r="E32" s="99" t="s">
        <v>50</v>
      </c>
      <c r="F32" s="99" t="s">
        <v>284</v>
      </c>
      <c r="G32" s="100">
        <v>810</v>
      </c>
    </row>
    <row r="33" spans="2:7">
      <c r="B33" s="97"/>
      <c r="C33" s="98" t="s">
        <v>7</v>
      </c>
      <c r="D33" s="98" t="s">
        <v>386</v>
      </c>
      <c r="E33" s="99" t="s">
        <v>283</v>
      </c>
      <c r="F33" s="99" t="s">
        <v>36</v>
      </c>
      <c r="G33" s="100">
        <v>500</v>
      </c>
    </row>
    <row r="34" spans="2:7">
      <c r="B34" s="97"/>
      <c r="C34" s="98" t="s">
        <v>400</v>
      </c>
      <c r="D34" s="98" t="s">
        <v>383</v>
      </c>
      <c r="E34" s="99" t="s">
        <v>50</v>
      </c>
      <c r="F34" s="99" t="s">
        <v>36</v>
      </c>
      <c r="G34" s="100">
        <v>50</v>
      </c>
    </row>
    <row r="35" spans="2:7">
      <c r="B35" s="97">
        <v>38935</v>
      </c>
      <c r="C35" s="98" t="s">
        <v>300</v>
      </c>
      <c r="D35" s="98" t="s">
        <v>387</v>
      </c>
      <c r="E35" s="99" t="s">
        <v>51</v>
      </c>
      <c r="F35" s="99" t="s">
        <v>285</v>
      </c>
      <c r="G35" s="100"/>
    </row>
    <row r="36" spans="2:7">
      <c r="B36" s="97"/>
      <c r="C36" s="98" t="s">
        <v>300</v>
      </c>
      <c r="D36" s="98" t="s">
        <v>388</v>
      </c>
      <c r="E36" s="99" t="s">
        <v>51</v>
      </c>
      <c r="F36" s="99" t="s">
        <v>286</v>
      </c>
      <c r="G36" s="100"/>
    </row>
    <row r="37" spans="2:7" ht="17.25" customHeight="1">
      <c r="B37" s="97"/>
      <c r="C37" s="98" t="s">
        <v>300</v>
      </c>
      <c r="D37" s="98" t="s">
        <v>389</v>
      </c>
      <c r="E37" s="99" t="s">
        <v>51</v>
      </c>
      <c r="F37" s="99" t="s">
        <v>283</v>
      </c>
      <c r="G37" s="100"/>
    </row>
    <row r="38" spans="2:7">
      <c r="B38" s="97">
        <v>38935</v>
      </c>
      <c r="C38" s="98" t="s">
        <v>301</v>
      </c>
      <c r="D38" s="98" t="s">
        <v>390</v>
      </c>
      <c r="E38" s="99" t="s">
        <v>38</v>
      </c>
      <c r="F38" s="99" t="s">
        <v>37</v>
      </c>
      <c r="G38" s="100">
        <f>288000*1.1/2</f>
        <v>158400</v>
      </c>
    </row>
    <row r="39" spans="2:7">
      <c r="B39" s="97"/>
      <c r="C39" s="98" t="s">
        <v>301</v>
      </c>
      <c r="D39" s="98" t="s">
        <v>391</v>
      </c>
      <c r="E39" s="99" t="s">
        <v>38</v>
      </c>
      <c r="F39" s="99" t="s">
        <v>36</v>
      </c>
      <c r="G39" s="100">
        <f>G38-G40</f>
        <v>129600</v>
      </c>
    </row>
    <row r="40" spans="2:7">
      <c r="B40" s="97"/>
      <c r="C40" s="98" t="s">
        <v>301</v>
      </c>
      <c r="D40" s="98" t="s">
        <v>383</v>
      </c>
      <c r="E40" s="99" t="s">
        <v>50</v>
      </c>
      <c r="F40" s="99" t="s">
        <v>36</v>
      </c>
      <c r="G40" s="100">
        <v>28800</v>
      </c>
    </row>
    <row r="41" spans="2:7">
      <c r="B41" s="97"/>
      <c r="C41" s="98" t="s">
        <v>5</v>
      </c>
      <c r="D41" s="98" t="s">
        <v>392</v>
      </c>
      <c r="E41" s="99" t="s">
        <v>44</v>
      </c>
      <c r="F41" s="99" t="s">
        <v>48</v>
      </c>
      <c r="G41" s="100">
        <v>288000</v>
      </c>
    </row>
    <row r="42" spans="2:7">
      <c r="B42" s="97">
        <v>38937</v>
      </c>
      <c r="C42" s="98" t="s">
        <v>290</v>
      </c>
      <c r="D42" s="98" t="s">
        <v>393</v>
      </c>
      <c r="E42" s="99" t="s">
        <v>46</v>
      </c>
      <c r="F42" s="99" t="s">
        <v>45</v>
      </c>
      <c r="G42" s="100"/>
    </row>
    <row r="43" spans="2:7">
      <c r="B43" s="97">
        <v>38938</v>
      </c>
      <c r="C43" s="98" t="s">
        <v>291</v>
      </c>
      <c r="D43" s="98" t="s">
        <v>366</v>
      </c>
      <c r="E43" s="99" t="s">
        <v>52</v>
      </c>
      <c r="F43" s="99" t="s">
        <v>46</v>
      </c>
      <c r="G43" s="100"/>
    </row>
    <row r="44" spans="2:7" ht="19.5" customHeight="1">
      <c r="B44" s="97"/>
      <c r="C44" s="98" t="s">
        <v>401</v>
      </c>
      <c r="D44" s="98" t="s">
        <v>367</v>
      </c>
      <c r="E44" s="99" t="s">
        <v>37</v>
      </c>
      <c r="F44" s="99" t="s">
        <v>65</v>
      </c>
      <c r="G44" s="100"/>
    </row>
    <row r="45" spans="2:7" ht="19.5" customHeight="1">
      <c r="B45" s="97"/>
      <c r="C45" s="98" t="s">
        <v>401</v>
      </c>
      <c r="D45" s="98" t="s">
        <v>394</v>
      </c>
      <c r="E45" s="99" t="s">
        <v>37</v>
      </c>
      <c r="F45" s="99" t="s">
        <v>68</v>
      </c>
      <c r="G45" s="100">
        <v>15000</v>
      </c>
    </row>
    <row r="46" spans="2:7">
      <c r="B46" s="97">
        <v>38939</v>
      </c>
      <c r="C46" s="98" t="s">
        <v>292</v>
      </c>
      <c r="D46" s="98" t="s">
        <v>368</v>
      </c>
      <c r="E46" s="99" t="s">
        <v>52</v>
      </c>
      <c r="F46" s="101" t="s">
        <v>46</v>
      </c>
      <c r="G46" s="100"/>
    </row>
    <row r="47" spans="2:7">
      <c r="B47" s="97"/>
      <c r="C47" s="98" t="s">
        <v>402</v>
      </c>
      <c r="D47" s="98" t="s">
        <v>479</v>
      </c>
      <c r="E47" s="99" t="s">
        <v>6</v>
      </c>
      <c r="F47" s="99" t="s">
        <v>65</v>
      </c>
      <c r="G47" s="100"/>
    </row>
    <row r="48" spans="2:7">
      <c r="B48" s="97"/>
      <c r="C48" s="98" t="s">
        <v>402</v>
      </c>
      <c r="D48" s="98" t="s">
        <v>394</v>
      </c>
      <c r="E48" s="99" t="s">
        <v>6</v>
      </c>
      <c r="F48" s="99" t="s">
        <v>68</v>
      </c>
      <c r="G48" s="100">
        <v>7500</v>
      </c>
    </row>
    <row r="49" spans="2:7">
      <c r="B49" s="97">
        <v>38940</v>
      </c>
      <c r="C49" s="98" t="s">
        <v>293</v>
      </c>
      <c r="D49" s="98" t="s">
        <v>369</v>
      </c>
      <c r="E49" s="99" t="s">
        <v>52</v>
      </c>
      <c r="F49" s="99" t="s">
        <v>46</v>
      </c>
      <c r="G49" s="100"/>
    </row>
    <row r="50" spans="2:7">
      <c r="B50" s="97"/>
      <c r="C50" s="98" t="s">
        <v>403</v>
      </c>
      <c r="D50" s="98" t="s">
        <v>395</v>
      </c>
      <c r="E50" s="99" t="s">
        <v>8</v>
      </c>
      <c r="F50" s="99" t="s">
        <v>65</v>
      </c>
      <c r="G50" s="100"/>
    </row>
    <row r="51" spans="2:7">
      <c r="B51" s="97"/>
      <c r="C51" s="98" t="s">
        <v>403</v>
      </c>
      <c r="D51" s="98" t="s">
        <v>394</v>
      </c>
      <c r="E51" s="99" t="s">
        <v>8</v>
      </c>
      <c r="F51" s="99" t="s">
        <v>68</v>
      </c>
      <c r="G51" s="100">
        <v>3000</v>
      </c>
    </row>
    <row r="52" spans="2:7">
      <c r="B52" s="97">
        <v>38943</v>
      </c>
      <c r="C52" s="98" t="s">
        <v>294</v>
      </c>
      <c r="D52" s="98" t="s">
        <v>396</v>
      </c>
      <c r="E52" s="99" t="s">
        <v>46</v>
      </c>
      <c r="F52" s="99" t="s">
        <v>45</v>
      </c>
      <c r="G52" s="100"/>
    </row>
    <row r="53" spans="2:7">
      <c r="B53" s="97">
        <v>38944</v>
      </c>
      <c r="C53" s="98" t="s">
        <v>302</v>
      </c>
      <c r="D53" s="98" t="s">
        <v>370</v>
      </c>
      <c r="E53" s="99" t="s">
        <v>41</v>
      </c>
      <c r="F53" s="99" t="s">
        <v>36</v>
      </c>
      <c r="G53" s="100">
        <v>45000</v>
      </c>
    </row>
    <row r="54" spans="2:7">
      <c r="B54" s="97">
        <v>38946</v>
      </c>
      <c r="C54" s="98" t="s">
        <v>287</v>
      </c>
      <c r="D54" s="98" t="s">
        <v>397</v>
      </c>
      <c r="E54" s="99" t="s">
        <v>37</v>
      </c>
      <c r="F54" s="99" t="s">
        <v>6</v>
      </c>
      <c r="G54" s="100">
        <f>G47+G48</f>
        <v>7500</v>
      </c>
    </row>
    <row r="55" spans="2:7">
      <c r="B55" s="97">
        <v>38947</v>
      </c>
      <c r="C55" s="98" t="s">
        <v>307</v>
      </c>
      <c r="D55" s="98" t="s">
        <v>371</v>
      </c>
      <c r="E55" s="99" t="s">
        <v>37</v>
      </c>
      <c r="F55" s="99" t="s">
        <v>8</v>
      </c>
      <c r="G55" s="100">
        <f>G50+G51</f>
        <v>3000</v>
      </c>
    </row>
    <row r="56" spans="2:7">
      <c r="B56" s="97">
        <v>38948</v>
      </c>
      <c r="C56" s="98" t="s">
        <v>295</v>
      </c>
      <c r="D56" s="98" t="s">
        <v>372</v>
      </c>
      <c r="E56" s="99" t="s">
        <v>52</v>
      </c>
      <c r="F56" s="99" t="s">
        <v>46</v>
      </c>
      <c r="G56" s="100"/>
    </row>
    <row r="57" spans="2:7">
      <c r="B57" s="97"/>
      <c r="C57" s="98" t="s">
        <v>404</v>
      </c>
      <c r="D57" s="98" t="s">
        <v>398</v>
      </c>
      <c r="E57" s="99" t="s">
        <v>6</v>
      </c>
      <c r="F57" s="99" t="s">
        <v>65</v>
      </c>
      <c r="G57" s="100"/>
    </row>
    <row r="58" spans="2:7">
      <c r="B58" s="97"/>
      <c r="C58" s="98" t="s">
        <v>404</v>
      </c>
      <c r="D58" s="98" t="s">
        <v>394</v>
      </c>
      <c r="E58" s="99" t="s">
        <v>6</v>
      </c>
      <c r="F58" s="99" t="s">
        <v>68</v>
      </c>
      <c r="G58" s="100">
        <v>600</v>
      </c>
    </row>
    <row r="59" spans="2:7">
      <c r="B59" s="97">
        <v>38949</v>
      </c>
      <c r="C59" s="98" t="s">
        <v>296</v>
      </c>
      <c r="D59" s="98" t="s">
        <v>373</v>
      </c>
      <c r="E59" s="99" t="s">
        <v>52</v>
      </c>
      <c r="F59" s="99" t="s">
        <v>46</v>
      </c>
      <c r="G59" s="100"/>
    </row>
    <row r="60" spans="2:7">
      <c r="B60" s="97"/>
      <c r="C60" s="98" t="s">
        <v>73</v>
      </c>
      <c r="D60" s="98" t="s">
        <v>406</v>
      </c>
      <c r="E60" s="99" t="s">
        <v>37</v>
      </c>
      <c r="F60" s="99" t="s">
        <v>65</v>
      </c>
      <c r="G60" s="100"/>
    </row>
    <row r="61" spans="2:7">
      <c r="B61" s="97"/>
      <c r="C61" s="98" t="s">
        <v>73</v>
      </c>
      <c r="D61" s="98" t="s">
        <v>394</v>
      </c>
      <c r="E61" s="99" t="s">
        <v>37</v>
      </c>
      <c r="F61" s="99" t="s">
        <v>68</v>
      </c>
      <c r="G61" s="100">
        <v>6000</v>
      </c>
    </row>
    <row r="62" spans="2:7">
      <c r="B62" s="97">
        <v>38949</v>
      </c>
      <c r="C62" s="98" t="s">
        <v>405</v>
      </c>
      <c r="D62" s="98" t="s">
        <v>407</v>
      </c>
      <c r="E62" s="99" t="s">
        <v>40</v>
      </c>
      <c r="F62" s="99" t="s">
        <v>38</v>
      </c>
      <c r="G62" s="100">
        <v>170000</v>
      </c>
    </row>
    <row r="63" spans="2:7">
      <c r="B63" s="97"/>
      <c r="C63" s="98"/>
      <c r="D63" s="98" t="s">
        <v>408</v>
      </c>
      <c r="E63" s="99" t="s">
        <v>53</v>
      </c>
      <c r="F63" s="99" t="s">
        <v>38</v>
      </c>
      <c r="G63" s="100">
        <v>10000</v>
      </c>
    </row>
    <row r="64" spans="2:7">
      <c r="B64" s="97"/>
      <c r="C64" s="98" t="s">
        <v>9</v>
      </c>
      <c r="D64" s="98" t="s">
        <v>303</v>
      </c>
      <c r="E64" s="99" t="s">
        <v>53</v>
      </c>
      <c r="F64" s="99" t="s">
        <v>36</v>
      </c>
      <c r="G64" s="100">
        <v>1000</v>
      </c>
    </row>
    <row r="65" spans="2:7">
      <c r="B65" s="97"/>
      <c r="C65" s="98" t="s">
        <v>11</v>
      </c>
      <c r="D65" s="98" t="s">
        <v>409</v>
      </c>
      <c r="E65" s="99" t="s">
        <v>36</v>
      </c>
      <c r="F65" s="99" t="s">
        <v>67</v>
      </c>
      <c r="G65" s="100"/>
    </row>
    <row r="66" spans="2:7">
      <c r="B66" s="97">
        <v>38951</v>
      </c>
      <c r="C66" s="98" t="s">
        <v>297</v>
      </c>
      <c r="D66" s="98" t="s">
        <v>374</v>
      </c>
      <c r="E66" s="99" t="s">
        <v>52</v>
      </c>
      <c r="F66" s="99" t="s">
        <v>46</v>
      </c>
      <c r="G66" s="100"/>
    </row>
    <row r="67" spans="2:7">
      <c r="B67" s="97"/>
      <c r="C67" s="98" t="s">
        <v>74</v>
      </c>
      <c r="D67" s="98" t="s">
        <v>410</v>
      </c>
      <c r="E67" s="99" t="s">
        <v>8</v>
      </c>
      <c r="F67" s="99" t="s">
        <v>65</v>
      </c>
      <c r="G67" s="100"/>
    </row>
    <row r="68" spans="2:7" ht="23.25" customHeight="1">
      <c r="B68" s="97"/>
      <c r="C68" s="98" t="s">
        <v>74</v>
      </c>
      <c r="D68" s="98" t="s">
        <v>394</v>
      </c>
      <c r="E68" s="99" t="s">
        <v>8</v>
      </c>
      <c r="F68" s="99" t="s">
        <v>68</v>
      </c>
      <c r="G68" s="100">
        <v>9000</v>
      </c>
    </row>
    <row r="69" spans="2:7">
      <c r="B69" s="97"/>
      <c r="C69" s="98"/>
      <c r="D69" s="98" t="s">
        <v>411</v>
      </c>
      <c r="E69" s="99" t="s">
        <v>70</v>
      </c>
      <c r="F69" s="99" t="s">
        <v>8</v>
      </c>
      <c r="G69" s="100"/>
    </row>
    <row r="70" spans="2:7">
      <c r="B70" s="97"/>
      <c r="C70" s="98"/>
      <c r="D70" s="98" t="s">
        <v>412</v>
      </c>
      <c r="E70" s="99" t="s">
        <v>68</v>
      </c>
      <c r="F70" s="99" t="s">
        <v>8</v>
      </c>
      <c r="G70" s="100"/>
    </row>
    <row r="71" spans="2:7" ht="23.25" customHeight="1">
      <c r="B71" s="97">
        <v>38951</v>
      </c>
      <c r="C71" s="98" t="s">
        <v>10</v>
      </c>
      <c r="D71" s="98" t="s">
        <v>375</v>
      </c>
      <c r="E71" s="99" t="s">
        <v>54</v>
      </c>
      <c r="F71" s="99" t="s">
        <v>36</v>
      </c>
      <c r="G71" s="100">
        <v>10000</v>
      </c>
    </row>
    <row r="72" spans="2:7">
      <c r="B72" s="97">
        <v>38952</v>
      </c>
      <c r="C72" s="98" t="s">
        <v>12</v>
      </c>
      <c r="D72" s="98" t="s">
        <v>413</v>
      </c>
      <c r="E72" s="99" t="s">
        <v>49</v>
      </c>
      <c r="F72" s="99" t="s">
        <v>36</v>
      </c>
      <c r="G72" s="100"/>
    </row>
    <row r="73" spans="2:7" ht="21.75" customHeight="1">
      <c r="B73" s="97">
        <v>38954</v>
      </c>
      <c r="C73" s="98" t="s">
        <v>289</v>
      </c>
      <c r="D73" s="98" t="s">
        <v>414</v>
      </c>
      <c r="E73" s="99" t="s">
        <v>284</v>
      </c>
      <c r="F73" s="99" t="s">
        <v>37</v>
      </c>
      <c r="G73" s="100">
        <f>G31+G32</f>
        <v>8910</v>
      </c>
    </row>
    <row r="74" spans="2:7" ht="27" customHeight="1">
      <c r="B74" s="97">
        <v>38955</v>
      </c>
      <c r="C74" s="98" t="s">
        <v>308</v>
      </c>
      <c r="D74" s="98" t="s">
        <v>415</v>
      </c>
      <c r="E74" s="99" t="s">
        <v>37</v>
      </c>
      <c r="F74" s="99" t="s">
        <v>8</v>
      </c>
      <c r="G74" s="100">
        <f>G67+G68</f>
        <v>9000</v>
      </c>
    </row>
    <row r="75" spans="2:7" ht="21.75" customHeight="1">
      <c r="B75" s="97">
        <v>38960</v>
      </c>
      <c r="C75" s="98" t="s">
        <v>31</v>
      </c>
      <c r="D75" s="98" t="s">
        <v>416</v>
      </c>
      <c r="E75" s="99" t="s">
        <v>55</v>
      </c>
      <c r="F75" s="99" t="s">
        <v>41</v>
      </c>
      <c r="G75" s="100"/>
    </row>
    <row r="76" spans="2:7">
      <c r="B76" s="97"/>
      <c r="C76" s="98"/>
      <c r="D76" s="98" t="s">
        <v>417</v>
      </c>
      <c r="E76" s="99" t="s">
        <v>56</v>
      </c>
      <c r="F76" s="99" t="s">
        <v>41</v>
      </c>
      <c r="G76" s="100"/>
    </row>
    <row r="77" spans="2:7">
      <c r="B77" s="97"/>
      <c r="C77" s="98"/>
      <c r="D77" s="98" t="s">
        <v>418</v>
      </c>
      <c r="E77" s="99" t="s">
        <v>57</v>
      </c>
      <c r="F77" s="99" t="s">
        <v>41</v>
      </c>
      <c r="G77" s="100"/>
    </row>
    <row r="78" spans="2:7">
      <c r="B78" s="97"/>
      <c r="C78" s="98"/>
      <c r="D78" s="98" t="s">
        <v>419</v>
      </c>
      <c r="E78" s="99" t="s">
        <v>58</v>
      </c>
      <c r="F78" s="99" t="s">
        <v>41</v>
      </c>
      <c r="G78" s="100"/>
    </row>
    <row r="79" spans="2:7">
      <c r="B79" s="97"/>
      <c r="C79" s="98"/>
      <c r="D79" s="98" t="s">
        <v>376</v>
      </c>
      <c r="E79" s="99" t="s">
        <v>59</v>
      </c>
      <c r="F79" s="99" t="s">
        <v>41</v>
      </c>
      <c r="G79" s="100"/>
    </row>
    <row r="80" spans="2:7">
      <c r="B80" s="97"/>
      <c r="C80" s="98"/>
      <c r="D80" s="98" t="s">
        <v>169</v>
      </c>
      <c r="E80" s="99" t="s">
        <v>309</v>
      </c>
      <c r="F80" s="99" t="s">
        <v>41</v>
      </c>
      <c r="G80" s="100"/>
    </row>
    <row r="81" spans="2:7">
      <c r="B81" s="97"/>
      <c r="C81" s="98"/>
      <c r="D81" s="98" t="s">
        <v>420</v>
      </c>
      <c r="E81" s="99" t="s">
        <v>55</v>
      </c>
      <c r="F81" s="99" t="s">
        <v>42</v>
      </c>
      <c r="G81" s="100"/>
    </row>
    <row r="82" spans="2:7">
      <c r="B82" s="97"/>
      <c r="C82" s="98"/>
      <c r="D82" s="98" t="s">
        <v>421</v>
      </c>
      <c r="E82" s="99" t="s">
        <v>56</v>
      </c>
      <c r="F82" s="99" t="s">
        <v>42</v>
      </c>
      <c r="G82" s="100"/>
    </row>
    <row r="83" spans="2:7">
      <c r="B83" s="97"/>
      <c r="C83" s="98"/>
      <c r="D83" s="98" t="s">
        <v>422</v>
      </c>
      <c r="E83" s="99" t="s">
        <v>57</v>
      </c>
      <c r="F83" s="99" t="s">
        <v>42</v>
      </c>
      <c r="G83" s="100"/>
    </row>
    <row r="84" spans="2:7">
      <c r="B84" s="97"/>
      <c r="C84" s="98"/>
      <c r="D84" s="98" t="s">
        <v>423</v>
      </c>
      <c r="E84" s="99" t="s">
        <v>58</v>
      </c>
      <c r="F84" s="99" t="s">
        <v>42</v>
      </c>
      <c r="G84" s="100"/>
    </row>
    <row r="85" spans="2:7">
      <c r="B85" s="97"/>
      <c r="C85" s="98"/>
      <c r="D85" s="98" t="s">
        <v>424</v>
      </c>
      <c r="E85" s="99" t="s">
        <v>41</v>
      </c>
      <c r="F85" s="99" t="s">
        <v>42</v>
      </c>
      <c r="G85" s="100"/>
    </row>
    <row r="86" spans="2:7">
      <c r="B86" s="97">
        <v>38960</v>
      </c>
      <c r="C86" s="98" t="s">
        <v>75</v>
      </c>
      <c r="D86" s="98" t="s">
        <v>377</v>
      </c>
      <c r="E86" s="99" t="s">
        <v>76</v>
      </c>
      <c r="F86" s="99" t="s">
        <v>37</v>
      </c>
      <c r="G86" s="100"/>
    </row>
    <row r="87" spans="2:7">
      <c r="B87" s="97"/>
      <c r="C87" s="98"/>
      <c r="D87" s="98" t="s">
        <v>378</v>
      </c>
      <c r="E87" s="99" t="s">
        <v>59</v>
      </c>
      <c r="F87" s="99" t="s">
        <v>37</v>
      </c>
      <c r="G87" s="100"/>
    </row>
    <row r="88" spans="2:7">
      <c r="B88" s="97"/>
      <c r="C88" s="98"/>
      <c r="D88" s="98" t="s">
        <v>425</v>
      </c>
      <c r="E88" s="99" t="s">
        <v>77</v>
      </c>
      <c r="F88" s="99" t="s">
        <v>37</v>
      </c>
      <c r="G88" s="100"/>
    </row>
    <row r="89" spans="2:7">
      <c r="B89" s="97"/>
      <c r="C89" s="98"/>
      <c r="D89" s="98" t="s">
        <v>426</v>
      </c>
      <c r="E89" s="99" t="s">
        <v>310</v>
      </c>
      <c r="F89" s="99" t="s">
        <v>37</v>
      </c>
      <c r="G89" s="100"/>
    </row>
    <row r="90" spans="2:7">
      <c r="B90" s="97">
        <v>38960</v>
      </c>
      <c r="C90" s="98" t="s">
        <v>13</v>
      </c>
      <c r="D90" s="98" t="s">
        <v>379</v>
      </c>
      <c r="E90" s="99" t="s">
        <v>41</v>
      </c>
      <c r="F90" s="99" t="s">
        <v>36</v>
      </c>
      <c r="G90" s="100"/>
    </row>
    <row r="91" spans="2:7">
      <c r="B91" s="97"/>
      <c r="C91" s="98"/>
      <c r="D91" s="98" t="s">
        <v>380</v>
      </c>
      <c r="E91" s="99" t="s">
        <v>41</v>
      </c>
      <c r="F91" s="99" t="s">
        <v>36</v>
      </c>
      <c r="G91" s="100"/>
    </row>
    <row r="92" spans="2:7" ht="18.75" customHeight="1">
      <c r="B92" s="97"/>
      <c r="C92" s="98"/>
      <c r="D92" s="98" t="s">
        <v>427</v>
      </c>
      <c r="E92" s="99" t="s">
        <v>41</v>
      </c>
      <c r="F92" s="99" t="s">
        <v>36</v>
      </c>
      <c r="G92" s="100"/>
    </row>
    <row r="93" spans="2:7">
      <c r="B93" s="97">
        <v>38960</v>
      </c>
      <c r="C93" s="98" t="s">
        <v>304</v>
      </c>
      <c r="D93" s="98" t="s">
        <v>428</v>
      </c>
      <c r="E93" s="99" t="s">
        <v>60</v>
      </c>
      <c r="F93" s="99" t="s">
        <v>36</v>
      </c>
      <c r="G93" s="100"/>
    </row>
    <row r="94" spans="2:7">
      <c r="B94" s="97"/>
      <c r="C94" s="98"/>
      <c r="D94" s="98" t="s">
        <v>429</v>
      </c>
      <c r="E94" s="99" t="s">
        <v>61</v>
      </c>
      <c r="F94" s="99" t="s">
        <v>36</v>
      </c>
      <c r="G94" s="100"/>
    </row>
    <row r="95" spans="2:7">
      <c r="B95" s="97"/>
      <c r="C95" s="98"/>
      <c r="D95" s="98" t="s">
        <v>430</v>
      </c>
      <c r="E95" s="99" t="s">
        <v>49</v>
      </c>
      <c r="F95" s="99" t="s">
        <v>36</v>
      </c>
      <c r="G95" s="100"/>
    </row>
    <row r="96" spans="2:7">
      <c r="B96" s="97">
        <v>38960</v>
      </c>
      <c r="C96" s="98" t="s">
        <v>32</v>
      </c>
      <c r="D96" s="98" t="s">
        <v>381</v>
      </c>
      <c r="E96" s="99" t="s">
        <v>62</v>
      </c>
      <c r="F96" s="99" t="s">
        <v>40</v>
      </c>
      <c r="G96" s="100"/>
    </row>
    <row r="97" spans="2:7">
      <c r="B97" s="97"/>
      <c r="C97" s="98"/>
      <c r="D97" s="98" t="s">
        <v>382</v>
      </c>
      <c r="E97" s="99" t="s">
        <v>63</v>
      </c>
      <c r="F97" s="99" t="s">
        <v>40</v>
      </c>
      <c r="G97" s="100"/>
    </row>
    <row r="98" spans="2:7">
      <c r="B98" s="97"/>
      <c r="C98" s="98"/>
      <c r="D98" s="98" t="s">
        <v>431</v>
      </c>
      <c r="E98" s="99" t="s">
        <v>64</v>
      </c>
      <c r="F98" s="99" t="s">
        <v>40</v>
      </c>
      <c r="G98" s="100"/>
    </row>
    <row r="99" spans="2:7">
      <c r="B99" s="97">
        <v>38960</v>
      </c>
      <c r="C99" s="98" t="s">
        <v>298</v>
      </c>
      <c r="D99" s="98" t="s">
        <v>432</v>
      </c>
      <c r="E99" s="99" t="s">
        <v>46</v>
      </c>
      <c r="F99" s="99" t="s">
        <v>45</v>
      </c>
      <c r="G99" s="100"/>
    </row>
    <row r="100" spans="2:7">
      <c r="B100" s="97">
        <v>38960</v>
      </c>
      <c r="C100" s="98" t="s">
        <v>33</v>
      </c>
      <c r="D100" s="98" t="s">
        <v>433</v>
      </c>
      <c r="E100" s="99" t="s">
        <v>45</v>
      </c>
      <c r="F100" s="99" t="s">
        <v>51</v>
      </c>
      <c r="G100" s="100"/>
    </row>
    <row r="101" spans="2:7">
      <c r="B101" s="97"/>
      <c r="C101" s="98" t="s">
        <v>33</v>
      </c>
      <c r="D101" s="98" t="s">
        <v>434</v>
      </c>
      <c r="E101" s="99" t="s">
        <v>45</v>
      </c>
      <c r="F101" s="99" t="s">
        <v>55</v>
      </c>
      <c r="G101" s="100"/>
    </row>
    <row r="102" spans="2:7">
      <c r="B102" s="97"/>
      <c r="C102" s="98" t="s">
        <v>33</v>
      </c>
      <c r="D102" s="98" t="s">
        <v>435</v>
      </c>
      <c r="E102" s="99" t="s">
        <v>45</v>
      </c>
      <c r="F102" s="99" t="s">
        <v>69</v>
      </c>
      <c r="G102" s="100"/>
    </row>
    <row r="103" spans="2:7">
      <c r="B103" s="97">
        <v>38960</v>
      </c>
      <c r="C103" s="98" t="s">
        <v>35</v>
      </c>
      <c r="D103" s="98" t="s">
        <v>436</v>
      </c>
      <c r="E103" s="99" t="s">
        <v>65</v>
      </c>
      <c r="F103" s="99" t="s">
        <v>70</v>
      </c>
      <c r="G103" s="100"/>
    </row>
    <row r="104" spans="2:7">
      <c r="B104" s="102">
        <v>38960</v>
      </c>
      <c r="C104" s="103" t="s">
        <v>34</v>
      </c>
      <c r="D104" s="103" t="s">
        <v>437</v>
      </c>
      <c r="E104" s="104" t="s">
        <v>65</v>
      </c>
      <c r="F104" s="104" t="s">
        <v>66</v>
      </c>
      <c r="G104" s="105"/>
    </row>
    <row r="105" spans="2:7">
      <c r="B105" s="102">
        <v>38960</v>
      </c>
      <c r="C105" s="103" t="s">
        <v>34</v>
      </c>
      <c r="D105" s="103" t="s">
        <v>438</v>
      </c>
      <c r="E105" s="104" t="s">
        <v>66</v>
      </c>
      <c r="F105" s="104" t="s">
        <v>52</v>
      </c>
      <c r="G105" s="105"/>
    </row>
    <row r="106" spans="2:7">
      <c r="B106" s="106"/>
      <c r="C106" s="103"/>
      <c r="D106" s="103" t="s">
        <v>439</v>
      </c>
      <c r="E106" s="104" t="s">
        <v>66</v>
      </c>
      <c r="F106" s="104" t="s">
        <v>71</v>
      </c>
      <c r="G106" s="105"/>
    </row>
    <row r="107" spans="2:7">
      <c r="B107" s="106"/>
      <c r="C107" s="103"/>
      <c r="D107" s="103" t="s">
        <v>440</v>
      </c>
      <c r="E107" s="104" t="s">
        <v>66</v>
      </c>
      <c r="F107" s="104" t="s">
        <v>72</v>
      </c>
      <c r="G107" s="105"/>
    </row>
    <row r="108" spans="2:7">
      <c r="B108" s="106"/>
      <c r="C108" s="103"/>
      <c r="D108" s="103" t="s">
        <v>441</v>
      </c>
      <c r="E108" s="104" t="s">
        <v>66</v>
      </c>
      <c r="F108" s="104" t="s">
        <v>53</v>
      </c>
      <c r="G108" s="105"/>
    </row>
    <row r="109" spans="2:7">
      <c r="B109" s="106"/>
      <c r="C109" s="103"/>
      <c r="D109" s="103" t="s">
        <v>442</v>
      </c>
      <c r="E109" s="104" t="s">
        <v>67</v>
      </c>
      <c r="F109" s="104" t="s">
        <v>66</v>
      </c>
      <c r="G109" s="105"/>
    </row>
    <row r="110" spans="2:7">
      <c r="B110" s="106"/>
      <c r="C110" s="103"/>
      <c r="D110" s="103" t="s">
        <v>443</v>
      </c>
      <c r="E110" s="104" t="s">
        <v>66</v>
      </c>
      <c r="F110" s="104" t="s">
        <v>54</v>
      </c>
      <c r="G110" s="105"/>
    </row>
    <row r="111" spans="2:7">
      <c r="B111" s="106"/>
      <c r="C111" s="103"/>
      <c r="D111" s="103" t="s">
        <v>444</v>
      </c>
      <c r="E111" s="107" t="s">
        <v>315</v>
      </c>
      <c r="F111" s="107" t="s">
        <v>316</v>
      </c>
      <c r="G111" s="105"/>
    </row>
    <row r="112" spans="2:7">
      <c r="B112" s="106"/>
      <c r="C112" s="103" t="s">
        <v>317</v>
      </c>
      <c r="D112" s="103" t="s">
        <v>445</v>
      </c>
      <c r="E112" s="107" t="s">
        <v>316</v>
      </c>
      <c r="F112" s="107" t="s">
        <v>37</v>
      </c>
      <c r="G112" s="105"/>
    </row>
    <row r="113" spans="2:7">
      <c r="B113" s="106"/>
      <c r="C113" s="103"/>
      <c r="D113" s="103" t="s">
        <v>446</v>
      </c>
      <c r="E113" s="104" t="s">
        <v>66</v>
      </c>
      <c r="F113" s="104" t="s">
        <v>315</v>
      </c>
      <c r="G113" s="105"/>
    </row>
    <row r="114" spans="2:7">
      <c r="B114" s="108"/>
      <c r="C114" s="109"/>
      <c r="D114" s="109" t="s">
        <v>314</v>
      </c>
      <c r="E114" s="110"/>
      <c r="F114" s="110"/>
      <c r="G114" s="111"/>
    </row>
    <row r="115" spans="2:7" ht="17.399999999999999" thickBot="1">
      <c r="B115" s="112"/>
      <c r="C115" s="113"/>
      <c r="D115" s="113"/>
      <c r="E115" s="114"/>
      <c r="F115" s="114"/>
      <c r="G115" s="115"/>
    </row>
    <row r="116" spans="2:7" ht="17.399999999999999" thickTop="1"/>
  </sheetData>
  <phoneticPr fontId="11" type="noConversion"/>
  <pageMargins left="0.16" right="7.0000000000000007E-2" top="0.23" bottom="0.26" header="0.21" footer="0.14000000000000001"/>
  <pageSetup scale="8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Btt-Luong</vt:lpstr>
      <vt:lpstr>BPB-Luong</vt:lpstr>
      <vt:lpstr>Ct-VL</vt:lpstr>
      <vt:lpstr>BangTH-NVL</vt:lpstr>
      <vt:lpstr>Bang PBNVL</vt:lpstr>
      <vt:lpstr>Pbo-kh</vt:lpstr>
      <vt:lpstr>Ct-621</vt:lpstr>
      <vt:lpstr>Ct-622</vt:lpstr>
      <vt:lpstr>Ct-627</vt:lpstr>
      <vt:lpstr>Ct-154</vt:lpstr>
      <vt:lpstr>B-TGTSP</vt:lpstr>
      <vt:lpstr>Ct-155</vt:lpstr>
      <vt:lpstr>Ct-641</vt:lpstr>
      <vt:lpstr>Ct-642</vt:lpstr>
      <vt:lpstr>Ct-632</vt:lpstr>
      <vt:lpstr>Ct-511</vt:lpstr>
      <vt:lpstr>Ct-911</vt:lpstr>
      <vt:lpstr>BCKQKD</vt:lpstr>
      <vt:lpstr>So NKC</vt:lpstr>
    </vt:vector>
  </TitlesOfParts>
  <Company>Khoa Kinh Te &amp; QTKD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VNN.R9</dc:creator>
  <cp:lastModifiedBy>thuy phung</cp:lastModifiedBy>
  <cp:lastPrinted>2020-08-11T04:10:51Z</cp:lastPrinted>
  <dcterms:created xsi:type="dcterms:W3CDTF">2006-05-19T05:33:44Z</dcterms:created>
  <dcterms:modified xsi:type="dcterms:W3CDTF">2025-11-25T06:01:11Z</dcterms:modified>
</cp:coreProperties>
</file>